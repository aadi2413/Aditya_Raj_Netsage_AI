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ases" sheetId="2" state="visible" r:id="rId4"/>
    <sheet name="AI_Diagnoses" sheetId="3" state="visible" r:id="rId5"/>
    <sheet name="Human_Review"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<sst xmlns="http://schemas.openxmlformats.org/spreadsheetml/2006/main" count="784" uniqueCount="366">
  <si>
    <t xml:space="preserve">NETSAGE AI</t>
  </si>
  <si>
    <t xml:space="preserve">AI-Assisted Cisco Network Troubleshooting — Project Dashboard</t>
  </si>
  <si>
    <t xml:space="preserve">PROJECT OVERVIEW</t>
  </si>
  <si>
    <t xml:space="preserve">Total Cases</t>
  </si>
  <si>
    <t xml:space="preserve">AI Diagnoses</t>
  </si>
  <si>
    <t xml:space="preserve">Human Reviews</t>
  </si>
  <si>
    <t xml:space="preserve">Agreement Rate</t>
  </si>
  <si>
    <t xml:space="preserve">Categories Covered</t>
  </si>
  <si>
    <t xml:space="preserve">CASES BY CATEGORY</t>
  </si>
  <si>
    <t xml:space="preserve">Category</t>
  </si>
  <si>
    <t xml:space="preserve">Count</t>
  </si>
  <si>
    <t xml:space="preserve">ACL</t>
  </si>
  <si>
    <t xml:space="preserve">DHCP</t>
  </si>
  <si>
    <t xml:space="preserve">DNS</t>
  </si>
  <si>
    <t xml:space="preserve">Gateway</t>
  </si>
  <si>
    <t xml:space="preserve">NAT</t>
  </si>
  <si>
    <t xml:space="preserve">Routing</t>
  </si>
  <si>
    <t xml:space="preserve">VLAN</t>
  </si>
  <si>
    <t xml:space="preserve">Wireless</t>
  </si>
  <si>
    <t xml:space="preserve">Total</t>
  </si>
  <si>
    <t xml:space="preserve">CASES BY SEVERITY</t>
  </si>
  <si>
    <t xml:space="preserve">Severity</t>
  </si>
  <si>
    <t xml:space="preserve">High</t>
  </si>
  <si>
    <t xml:space="preserve">Medium</t>
  </si>
  <si>
    <t xml:space="preserve">Low</t>
  </si>
  <si>
    <t xml:space="preserve">AI vs HUMAN REVIEW</t>
  </si>
  <si>
    <t xml:space="preserve">Verdict</t>
  </si>
  <si>
    <t xml:space="preserve">Accepted</t>
  </si>
  <si>
    <t xml:space="preserve">Edited</t>
  </si>
  <si>
    <t xml:space="preserve">Rejected</t>
  </si>
  <si>
    <t xml:space="preserve">Total reviewed</t>
  </si>
  <si>
    <t xml:space="preserve">AI CONFIDENCE</t>
  </si>
  <si>
    <t xml:space="preserve">Confidence</t>
  </si>
  <si>
    <t xml:space="preserve">case_id</t>
  </si>
  <si>
    <t xml:space="preserve">category</t>
  </si>
  <si>
    <t xml:space="preserve">symptom</t>
  </si>
  <si>
    <t xml:space="preserve">topology_note</t>
  </si>
  <si>
    <t xml:space="preserve">show_command_output</t>
  </si>
  <si>
    <t xml:space="preserve">expected_fault</t>
  </si>
  <si>
    <t xml:space="preserve">osi_layer</t>
  </si>
  <si>
    <t xml:space="preserve">concept_tag</t>
  </si>
  <si>
    <t xml:space="preserve">severity</t>
  </si>
  <si>
    <t xml:space="preserve">C001</t>
  </si>
  <si>
    <t xml:space="preserve">PC1 (Fa0/1, VLAN 10) cannot ping its own default gateway 192.168.10.1.</t>
  </si>
  <si>
    <t xml:space="preserve">SW1 access switch, Fa0/1 assigned to PC1, uplink to R1 sub-interface Gi0/0.10 for VLAN 10.</t>
  </si>
  <si>
    <t xml:space="preserve">SW1# show vlan brief
VLAN Name    Status  Ports
1  default    active  Fa0/1, Fa0/2, Fa0/3
10 SALES      active  Fa0/5
SW1# show interfaces fa0/1 switchport
Administrative Mode: static access
Operational Mode: static access
Access Mode VLAN: 1 (default)</t>
  </si>
  <si>
    <t xml:space="preserve">Fa0/1 is still in VLAN 1 (default) instead of VLAN 10, so PC1 is on the wrong broadcast domain and cannot reach the VLAN 10 gateway.</t>
  </si>
  <si>
    <t xml:space="preserve">Layer 2</t>
  </si>
  <si>
    <t xml:space="preserve">vlan-membership</t>
  </si>
  <si>
    <t xml:space="preserve">C002</t>
  </si>
  <si>
    <t xml:space="preserve">Hosts in VLAN 20 on SW2 cannot reach hosts in VLAN 20 on SW1 across the trunk.</t>
  </si>
  <si>
    <t xml:space="preserve">SW1 &lt;-&gt; SW2 trunk on Gi0/1, VLAN 10 and VLAN 20 exist on both switches.</t>
  </si>
  <si>
    <t xml:space="preserve">SW1# show interfaces trunk
Port  Mode  Encapsulation  Status  Native vlan
Gi0/1 on    802.1q         trunking 1
Vlans allowed on trunk: 1,10</t>
  </si>
  <si>
    <t xml:space="preserve">VLAN 20 is missing from the trunk's allowed VLAN list ('switchport trunk allowed vlan' does not include 20), so VLAN 20 traffic is dropped at the trunk.</t>
  </si>
  <si>
    <t xml:space="preserve">trunk-allowed-vlan</t>
  </si>
  <si>
    <t xml:space="preserve">C003</t>
  </si>
  <si>
    <t xml:space="preserve">PC on Fa0/8 receives a DHCP address from the wrong subnet (192.168.10.x instead of 192.168.30.x).</t>
  </si>
  <si>
    <t xml:space="preserve">Fa0/8 is meant to be in VLAN 30, DHCP relay (ip helper-address) configured on router sub-interfaces.</t>
  </si>
  <si>
    <t xml:space="preserve">SW1# show interfaces fa0/8 switchport
Access Mode VLAN: 10 (SALES)
R1# show run interface gi0/0.30
interface GigabitEthernet0/0.30
 encapsulation dot1Q 30
 ip address 192.168.30.1 255.255.255.0
 ip helper-address 192.168.100.10</t>
  </si>
  <si>
    <t xml:space="preserve">Fa0/8 was assigned to VLAN 10 instead of VLAN 30 by mistake, so the DHCP request is relayed using the VLAN 10 sub-interface's helper scope.</t>
  </si>
  <si>
    <t xml:space="preserve">C004</t>
  </si>
  <si>
    <t xml:space="preserve">CDP native VLAN mismatch warning appears in the switch log between SW1 and SW2.</t>
  </si>
  <si>
    <t xml:space="preserve">Trunk between SW1 Gi0/1 and SW2 Gi0/1.</t>
  </si>
  <si>
    <t xml:space="preserve">SW1# show interfaces gi0/1 trunk
Native vlan: 1
SW2# show interfaces gi0/1 trunk
Native vlan: 99
%CDP-4-NATIVE_VLAN_MISMATCH: Native VLAN mismatch discovered on GigabitEthernet0/1</t>
  </si>
  <si>
    <t xml:space="preserve">The trunk's native VLAN is set to 1 on SW1 and 99 on SW2 — a mismatched native VLAN, which risks VLAN leakage for untagged frames.</t>
  </si>
  <si>
    <t xml:space="preserve">native-vlan-mismatch</t>
  </si>
  <si>
    <t xml:space="preserve">C005</t>
  </si>
  <si>
    <t xml:space="preserve">PC2 has a valid IP (192.168.10.25/24) but cannot reach any device outside its subnet.</t>
  </si>
  <si>
    <t xml:space="preserve">PC2 static IP configuration, gateway should be 192.168.10.1.</t>
  </si>
  <si>
    <t xml:space="preserve">PC2&gt; ipconfig
IP Address: 192.168.10.25
Subnet Mask: 255.255.255.0
Default Gateway: 192.168.10.10</t>
  </si>
  <si>
    <t xml:space="preserve">Default gateway is typo'd as 192.168.10.10 instead of the router's actual interface address 192.168.10.1.</t>
  </si>
  <si>
    <t xml:space="preserve">Layer 3</t>
  </si>
  <si>
    <t xml:space="preserve">gateway-misconfig</t>
  </si>
  <si>
    <t xml:space="preserve">C006</t>
  </si>
  <si>
    <t xml:space="preserve">All hosts in VLAN 10 lost gateway connectivity at the same time.</t>
  </si>
  <si>
    <t xml:space="preserve">L3 switch SW1 provides the VLAN 10 SVI as the gateway.</t>
  </si>
  <si>
    <t xml:space="preserve">SW1# show ip interface brief
Interface       IP-Address     Status     Protocol
Vlan10          192.168.10.1   down       down</t>
  </si>
  <si>
    <t xml:space="preserve">SVI 'interface vlan 10' is administratively down (no shutdown missing), taking down the gateway for the whole VLAN.</t>
  </si>
  <si>
    <t xml:space="preserve">svi-down</t>
  </si>
  <si>
    <t xml:space="preserve">C007</t>
  </si>
  <si>
    <t xml:space="preserve">Gateway is intermittently unreachable; standby router sometimes answers instead of the active one.</t>
  </si>
  <si>
    <t xml:space="preserve">R1 and R2 run HSRP for VLAN 10 virtual gateway 192.168.10.1.</t>
  </si>
  <si>
    <t xml:space="preserve">R1# show standby brief
Interface  Grp  Pri  State   Active     Standby
Gi0/0.10   10   100  Active  local      R2
R2# show standby brief
Interface  Grp  Pri  State   Active     Standby
Gi0/0.10   10   110  Active  local      unknown</t>
  </si>
  <si>
    <t xml:space="preserve">Both R1 and R2 report themselves as Active for HSRP group 10 (priority/preempt misconfiguration), causing an active/active split and intermittent gateway failures.</t>
  </si>
  <si>
    <t xml:space="preserve">hsrp-split-brain</t>
  </si>
  <si>
    <t xml:space="preserve">C008</t>
  </si>
  <si>
    <t xml:space="preserve">New PCs joining VLAN 10 fail to get an IP address; existing PCs are fine.</t>
  </si>
  <si>
    <t xml:space="preserve">R1 is the DHCP server for pool SALES_POOL, network 192.168.10.0/24.</t>
  </si>
  <si>
    <t xml:space="preserve">R1# show ip dhcp pool SALES_POOL
Pool SALES_POOL:
 Address range: 192.168.10.10 - 192.168.10.14
 Leased addresses: 5
 Pending event: none
R1# show ip dhcp conflict
(none)</t>
  </si>
  <si>
    <t xml:space="preserve">The DHCP pool's address range (only 5 usable addresses) is exhausted; the pool needs a larger range or the network/exclude statements corrected.</t>
  </si>
  <si>
    <t xml:space="preserve">Layer 7 (application/service)</t>
  </si>
  <si>
    <t xml:space="preserve">dhcp-pool-exhaustion</t>
  </si>
  <si>
    <t xml:space="preserve">C009</t>
  </si>
  <si>
    <t xml:space="preserve">Hosts in VLAN 20 never receive a DHCP offer even though the DHCP server lives in VLAN 10.</t>
  </si>
  <si>
    <t xml:space="preserve">R1 is L3 gateway for both VLANs; DHCP server is a Windows server host in VLAN 10.</t>
  </si>
  <si>
    <t xml:space="preserve">R1# show run interface gi0/0.20
interface GigabitEthernet0/0.20
 encapsulation dot1Q 20
 ip address 192.168.20.1 255.255.255.0
! (no ip helper-address configured)</t>
  </si>
  <si>
    <t xml:space="preserve">'ip helper-address' pointing at the DHCP server is missing on the VLAN 20 sub-interface, so DHCP broadcasts from VLAN 20 are never relayed to the server.</t>
  </si>
  <si>
    <t xml:space="preserve">dhcp-relay-missing</t>
  </si>
  <si>
    <t xml:space="preserve">C010</t>
  </si>
  <si>
    <t xml:space="preserve">Clients get an IP address and mask but no internet or inter-VLAN access.</t>
  </si>
  <si>
    <t xml:space="preserve">R1 DHCP pool SALES_POOL for VLAN 10.</t>
  </si>
  <si>
    <t xml:space="preserve">R1# show run | section dhcp pool SALES_POOL
ip dhcp pool SALES_POOL
 network 192.168.10.0 255.255.255.0
 dns-server 8.8.8.8
! (no default-router configured)</t>
  </si>
  <si>
    <t xml:space="preserve">The DHCP pool has no 'default-router' statement, so clients never learn a gateway address even though addressing works.</t>
  </si>
  <si>
    <t xml:space="preserve">dhcp-missing-gateway-option</t>
  </si>
  <si>
    <t xml:space="preserve">C011</t>
  </si>
  <si>
    <t xml:space="preserve">PC can ping 8.8.8.8 by IP but 'ping google.com' fails to resolve.</t>
  </si>
  <si>
    <t xml:space="preserve">PC gets DNS server address via static config.</t>
  </si>
  <si>
    <t xml:space="preserve">PC1&gt; ipconfig /all
DNS Server: 192.168.10.200
PC1&gt; ping 192.168.10.200
Request timed out. (4/4 lost)</t>
  </si>
  <si>
    <t xml:space="preserve">The configured DNS server address (192.168.10.200) does not correspond to a real DNS server on the network, so all name resolution fails while raw IP connectivity works.</t>
  </si>
  <si>
    <t xml:space="preserve">Layer 7 (application)</t>
  </si>
  <si>
    <t xml:space="preserve">wrong-dns-server</t>
  </si>
  <si>
    <t xml:space="preserve">C012</t>
  </si>
  <si>
    <t xml:space="preserve">Name resolution fails for all hosts in VLAN 10 only; VLAN 20 is unaffected and uses the same DNS server.</t>
  </si>
  <si>
    <t xml:space="preserve">R1 has an ACL applied inbound on Gi0/0.10 for security filtering.</t>
  </si>
  <si>
    <t xml:space="preserve">R1# show access-lists 110
Extended IP access list 110
 10 deny udp 192.168.10.0 0.0.0.255 any eq 53
 20 permit ip any any
R1# show run interface gi0/0.10
 ip access-group 110 in</t>
  </si>
  <si>
    <t xml:space="preserve">ACL 110 explicitly denies UDP port 53 (DNS) from VLAN 10 before the permit-any statement, blocking DNS queries only from that VLAN.</t>
  </si>
  <si>
    <t xml:space="preserve">Layer 3/4 (ACL) blocking Layer 7 service</t>
  </si>
  <si>
    <t xml:space="preserve">acl-blocking-dns</t>
  </si>
  <si>
    <t xml:space="preserve">C013</t>
  </si>
  <si>
    <t xml:space="preserve">Internal hostnames (e.g. fileserver.corp.local) fail to resolve, but internet domains resolve fine.</t>
  </si>
  <si>
    <t xml:space="preserve">R1 forwards DNS to both an internal DNS server and public DNS via 'ip name-server'.</t>
  </si>
  <si>
    <t xml:space="preserve">R1# show run | include name-server
ip name-server 8.8.8.8
! (internal DNS server 192.168.10.200 not listed)</t>
  </si>
  <si>
    <t xml:space="preserve">Only the public DNS server is configured under 'ip name-server'; the internal DNS server that holds the corp.local zone was never added, so internal names cannot resolve.</t>
  </si>
  <si>
    <t xml:space="preserve">dns-forwarder-misconfig</t>
  </si>
  <si>
    <t xml:space="preserve">C014</t>
  </si>
  <si>
    <t xml:space="preserve">VLAN 10 hosts can reach VLAN 20 but not the remote branch subnet 172.16.5.0/24.</t>
  </si>
  <si>
    <t xml:space="preserve">R1 (HQ) connects to R2 (branch) via a serial link; no dynamic routing configured.</t>
  </si>
  <si>
    <t xml:space="preserve">R1# show ip route
C  192.168.10.0/24 is directly connected, GigabitEthernet0/0.10
C  192.168.20.0/24 is directly connected, GigabitEthernet0/0.20
C  10.0.0.0/30 is directly connected, Serial0/0/0
! no route to 172.16.5.0/24</t>
  </si>
  <si>
    <t xml:space="preserve">R1 has no static route (or dynamic routing) for 172.16.5.0/24 via the branch link, so packets to the branch subnet are dropped at R1.</t>
  </si>
  <si>
    <t xml:space="preserve">missing-static-route</t>
  </si>
  <si>
    <t xml:space="preserve">C015</t>
  </si>
  <si>
    <t xml:space="preserve">OSPF neighbors between R1 and R2 never reach the FULL state.</t>
  </si>
  <si>
    <t xml:space="preserve">R1 and R2 connected via Serial0/0/0, both configured for OSPF area 0.</t>
  </si>
  <si>
    <t xml:space="preserve">R1# show ip ospf interface serial0/0/0
Process ID 1, Area 0
R2# show ip ospf interface serial0/0/0
Process ID 1, Area 1
R1# show ip ospf neighbor
(empty)</t>
  </si>
  <si>
    <t xml:space="preserve">R1 advertises the shared link in area 0 while R2 advertises it in area 1 — mismatched OSPF area IDs prevent adjacency from forming.</t>
  </si>
  <si>
    <t xml:space="preserve">ospf-area-mismatch</t>
  </si>
  <si>
    <t xml:space="preserve">C016</t>
  </si>
  <si>
    <t xml:space="preserve">VLAN 30 (192.168.30.0/24) is missing from R1's OSPF-learned routes on R2, even though R1 has OSPF configured.</t>
  </si>
  <si>
    <t xml:space="preserve">R1 runs OSPF area 0 covering its LAN interfaces.</t>
  </si>
  <si>
    <t xml:space="preserve">R1# show run | section router ospf
router ospf 1
 network 192.168.10.0 0.0.0.255 area 0
 network 192.168.20.0 0.0.0.255 area 0
! 192.168.30.0/24 network statement missing</t>
  </si>
  <si>
    <t xml:space="preserve">The OSPF 'network' statement for 192.168.30.0/24 is missing, so that interface is never advertised into OSPF even though it is up.</t>
  </si>
  <si>
    <t xml:space="preserve">ospf-network-statement-missing</t>
  </si>
  <si>
    <t xml:space="preserve">C017</t>
  </si>
  <si>
    <t xml:space="preserve">Internal traffic works fine, but no host on the network can reach the internet.</t>
  </si>
  <si>
    <t xml:space="preserve">R1 connects to the ISP via Gi0/1; internal routing (OSPF) is healthy.</t>
  </si>
  <si>
    <t xml:space="preserve">R1# show ip route
O  192.168.10.0/24 [110/2] via ...
O  192.168.20.0/24 [110/2] via ...
! no default route (0.0.0.0/0) present
R1# show run interface gi0/1
 ip address 203.0.113.2 255.255.255.252</t>
  </si>
  <si>
    <t xml:space="preserve">There is no default route (0.0.0.0/0) pointing to the ISP, so internally-routed traffic has no path out to unknown external destinations.</t>
  </si>
  <si>
    <t xml:space="preserve">missing-default-route</t>
  </si>
  <si>
    <t xml:space="preserve">C018</t>
  </si>
  <si>
    <t xml:space="preserve">Traffic to the branch subnet sometimes takes a slower, extra-hop path instead of the direct serial link.</t>
  </si>
  <si>
    <t xml:space="preserve">R1 redistributes static routes into OSPF; a static route and an OSPF-learned route both exist for 172.16.5.0/24.</t>
  </si>
  <si>
    <t xml:space="preserve">R1# show ip route 172.16.5.0
Routing entry for 172.16.5.0/24
 Known via "ospf 1", distance 110
  via 192.168.99.2 (extra hop path)
 Known via "static", distance 1
  via 10.0.0.2 (direct serial link) - not selected</t>
  </si>
  <si>
    <t xml:space="preserve">The OSPF-learned route (AD 110) is not actually preferred here because a redistribution/metric issue is letting the higher-AD path win in this topology; the static route's administrative distance and redistribution metrics need to be reviewed so the direct link is preferred.</t>
  </si>
  <si>
    <t xml:space="preserve">routing-redistribution-preference</t>
  </si>
  <si>
    <t xml:space="preserve">C019</t>
  </si>
  <si>
    <t xml:space="preserve">All traffic from VLAN 20 to the server farm is blocked, including traffic that should be explicitly permitted.</t>
  </si>
  <si>
    <t xml:space="preserve">ACL 101 applied inbound on Gi0/0.20 to restrict server access.</t>
  </si>
  <si>
    <t xml:space="preserve">R1# show access-lists 101
Extended IP access list 101
 10 deny ip 192.168.20.0 0.0.0.255 any
 20 permit tcp 192.168.20.0 0.0.0.255 host 192.168.100.10 eq 443
R1# show run interface gi0/0.20
 ip access-group 101 in</t>
  </si>
  <si>
    <t xml:space="preserve">A broad 'deny ip any' style statement (line 10) sits above the intended permit statement (line 20), so the permit is never reached and all VLAN 20 traffic is dropped.</t>
  </si>
  <si>
    <t xml:space="preserve">Layer 3/4</t>
  </si>
  <si>
    <t xml:space="preserve">acl-statement-order</t>
  </si>
  <si>
    <t xml:space="preserve">C020</t>
  </si>
  <si>
    <t xml:space="preserve">An ACL meant to restrict outbound internet access has no effect at all — traffic passes regardless of the rules.</t>
  </si>
  <si>
    <t xml:space="preserve">ACL 105 written to filter traffic leaving Gi0/1 toward the ISP.</t>
  </si>
  <si>
    <t xml:space="preserve">R1# show run interface gi0/1
 ip access-group 105 in
R1# show access-lists 105
Extended IP access list 105
 10 deny tcp any any eq 80
 20 permit ip any any</t>
  </si>
  <si>
    <t xml:space="preserve">ACL 105 is applied 'in' on the ISP-facing interface (filtering inbound internet traffic) instead of 'out', so it never inspects outbound traffic from internal hosts as intended.</t>
  </si>
  <si>
    <t xml:space="preserve">acl-wrong-direction</t>
  </si>
  <si>
    <t xml:space="preserve">C021</t>
  </si>
  <si>
    <t xml:space="preserve">A newly added ACL to block one host (192.168.10.50) from the server ended up blocking the entire VLAN.</t>
  </si>
  <si>
    <t xml:space="preserve">ACL 102 applied to Gi0/0.10 inbound.</t>
  </si>
  <si>
    <t xml:space="preserve">R1# show access-lists 102
Extended IP access list 102
 10 deny ip host 192.168.10.50 host 192.168.100.10
! (no explicit permit statement follows)</t>
  </si>
  <si>
    <t xml:space="preserve">Only a deny statement was written; with no explicit 'permit ip any any' after it, the ACL's implicit deny-all drops every other host's traffic too.</t>
  </si>
  <si>
    <t xml:space="preserve">acl-implicit-deny</t>
  </si>
  <si>
    <t xml:space="preserve">C022</t>
  </si>
  <si>
    <t xml:space="preserve">ACL intended to restrict VLAN 30 guest traffic appears to have zero matches, and guests still reach internal servers.</t>
  </si>
  <si>
    <t xml:space="preserve">ACL 130 was written for VLAN 30 but applied elsewhere.</t>
  </si>
  <si>
    <t xml:space="preserve">R1# show run | include ip access-group
interface GigabitEthernet0/0.10
 ip access-group 130 in
! (VLAN 30 sub-interface Gi0/0.30 has no ACL applied)</t>
  </si>
  <si>
    <t xml:space="preserve">ACL 130 was applied to the VLAN 10 sub-interface instead of the VLAN 30 (guest) sub-interface it was designed for, so guest traffic is never filtered.</t>
  </si>
  <si>
    <t xml:space="preserve">acl-wrong-interface</t>
  </si>
  <si>
    <t xml:space="preserve">C023</t>
  </si>
  <si>
    <t xml:space="preserve">Internal hosts can ping R1's outside interface but cannot reach any internet address.</t>
  </si>
  <si>
    <t xml:space="preserve">R1 configured with a NAT pool and access-list for PAT overload.</t>
  </si>
  <si>
    <t xml:space="preserve">R1# show ip nat translations
(empty)
R1# show run | include ip nat
interface GigabitEthernet0/0.10
 ip nat inside
interface GigabitEthernet0/1
 ip nat outside
! no 'ip nat inside source list ... overload' statement present</t>
  </si>
  <si>
    <t xml:space="preserve">Interfaces are correctly marked inside/outside, but the actual NAT overload (PAT) statement binding the inside ACL to the outside interface was never configured, so no translations occur.</t>
  </si>
  <si>
    <t xml:space="preserve">nat-overload-missing</t>
  </si>
  <si>
    <t xml:space="preserve">C024</t>
  </si>
  <si>
    <t xml:space="preserve">NAT is configured with a valid overload statement, but nothing is being translated.</t>
  </si>
  <si>
    <t xml:space="preserve">R1 has 'ip nat inside source list 1 interface gi0/1 overload' configured.</t>
  </si>
  <si>
    <t xml:space="preserve">R1# show run interface gi0/0.10
! (missing 'ip nat inside')
R1# show run interface gi0/1
 ip address 203.0.113.2 255.255.255.252
! (missing 'ip nat outside')</t>
  </si>
  <si>
    <t xml:space="preserve">Neither interface has been marked with 'ip nat inside' or 'ip nat outside', so the router never applies the otherwise-correct NAT overload rule to any traffic.</t>
  </si>
  <si>
    <t xml:space="preserve">nat-interface-role-missing</t>
  </si>
  <si>
    <t xml:space="preserve">C025</t>
  </si>
  <si>
    <t xml:space="preserve">Port-forwarded web server (static NAT) is unreachable from outside; internal access works fine.</t>
  </si>
  <si>
    <t xml:space="preserve">Static NAT maps public 203.0.113.10 to an internal web server.</t>
  </si>
  <si>
    <t xml:space="preserve">R1# show run | include ip nat inside source static
ip nat inside source static tcp 192.168.10.99 80 203.0.113.10 80
! actual web server address is 192.168.10.100, not .99</t>
  </si>
  <si>
    <t xml:space="preserve">The static NAT entry maps the public address to 192.168.10.99, but the real web server is 192.168.10.100 — a wrong internal (local) address in the mapping.</t>
  </si>
  <si>
    <t xml:space="preserve">static-nat-wrong-local-ip</t>
  </si>
  <si>
    <t xml:space="preserve">C026</t>
  </si>
  <si>
    <t xml:space="preserve">VLAN 10 gets internet access through NAT, but VLAN 20 does not, despite both using the same router.</t>
  </si>
  <si>
    <t xml:space="preserve">NAT ACL 1 defines which inside networks are translated.</t>
  </si>
  <si>
    <t xml:space="preserve">R1# show access-lists 1
Standard IP access list 1
 10 permit 192.168.10.0 0.0.0.255
! 192.168.20.0/24 not included</t>
  </si>
  <si>
    <t xml:space="preserve">The NAT-matching ACL only permits the VLAN 10 subnet; VLAN 20's subnet was never added, so its traffic is never selected for translation.</t>
  </si>
  <si>
    <t xml:space="preserve">nat-acl-incomplete</t>
  </si>
  <si>
    <t xml:space="preserve">C027</t>
  </si>
  <si>
    <t xml:space="preserve">Laptops cannot see the corporate SSID 'CorpNet' at all in the available networks list.</t>
  </si>
  <si>
    <t xml:space="preserve">Access point configured with SSID CorpNet on VLAN 10.</t>
  </si>
  <si>
    <t xml:space="preserve">AP# show running-config | section dot11
dot11 ssid CorpNet
 vlan 10
 authentication open
! guest-mode not enabled / broadcast-ssid missing</t>
  </si>
  <si>
    <t xml:space="preserve">The SSID exists but is not set to broadcast (guest-mode/broadcast-ssid not enabled), so it never appears in clients' network lists even though the radio is otherwise configured.</t>
  </si>
  <si>
    <t xml:space="preserve">Layer 1/2</t>
  </si>
  <si>
    <t xml:space="preserve">ssid-broadcast-disabled</t>
  </si>
  <si>
    <t xml:space="preserve">C028</t>
  </si>
  <si>
    <t xml:space="preserve">Wireless clients see the SSID but fail authentication every time with the correct-looking password.</t>
  </si>
  <si>
    <t xml:space="preserve">AP configured for WPA2-PSK on SSID CorpNet.</t>
  </si>
  <si>
    <t xml:space="preserve">AP# show run | section wpa
wpa-psk ascii 0 Summer2025!
! client profile configured with passphrase Summer2024!</t>
  </si>
  <si>
    <t xml:space="preserve">The AP's WPA2 pre-shared key (Summer2025!) does not match the key configured in the client's wireless profile (Summer2024!), causing repeated authentication failure.</t>
  </si>
  <si>
    <t xml:space="preserve">wpa-psk-mismatch</t>
  </si>
  <si>
    <t xml:space="preserve">C029</t>
  </si>
  <si>
    <t xml:space="preserve">Wireless clients associate to the AP successfully but never receive an IP address.</t>
  </si>
  <si>
    <t xml:space="preserve">AP bridges SSID CorpNet to a VLAN via a trunk to SW1.</t>
  </si>
  <si>
    <t xml:space="preserve">AP# show run | include vlan
 vlan 30
SW1# show interfaces fa0/12 switchport
Access VLAN: 10
(AP uplink port fa0/12 is an access port, not trunk, on VLAN 10)</t>
  </si>
  <si>
    <t xml:space="preserve">The AP is configured to bridge wireless clients into VLAN 30, but its uplink switch port is a VLAN 10 access port, so wireless client DHCP requests reach the wrong VLAN/DHCP scope (or none at all).</t>
  </si>
  <si>
    <t xml:space="preserve">ap-uplink-vlan-mismatch</t>
  </si>
  <si>
    <t xml:space="preserve">C030</t>
  </si>
  <si>
    <t xml:space="preserve">Wireless users near the edge of the building report frequent drops and slow speeds, worse near a specific hallway.</t>
  </si>
  <si>
    <t xml:space="preserve">Two APs (AP1, AP2) cover overlapping areas of the same floor.</t>
  </si>
  <si>
    <t xml:space="preserve">AP1# show controllers dot11radio 0 | include Channel
Channel: 6
AP2# show controllers dot11radio 0 | include Channel
Channel: 6</t>
  </si>
  <si>
    <t xml:space="preserve">AP1 and AP2 are both set to channel 6 in an overlapping coverage area, causing co-channel interference and degraded performance rather than a hard outage.</t>
  </si>
  <si>
    <t xml:space="preserve">Layer 1</t>
  </si>
  <si>
    <t xml:space="preserve">channel-overlap-interference</t>
  </si>
  <si>
    <t xml:space="preserve">root_cause</t>
  </si>
  <si>
    <t xml:space="preserve">confidence</t>
  </si>
  <si>
    <t xml:space="preserve">evidence</t>
  </si>
  <si>
    <t xml:space="preserve">next_command</t>
  </si>
  <si>
    <t xml:space="preserve">fix_steps</t>
  </si>
  <si>
    <t xml:space="preserve">parse_status</t>
  </si>
  <si>
    <t xml:space="preserve">Fa0/1 is assigned to VLAN 1 rather than VLAN 10, placing PC1 in the wrong VLAN.</t>
  </si>
  <si>
    <t xml:space="preserve">show vlan brief lists Fa0/1 under VLAN 1; show interfaces fa0/1 switchport reports Access Mode VLAN: 1 (default).</t>
  </si>
  <si>
    <t xml:space="preserve">show interfaces fa0/1 switchport</t>
  </si>
  <si>
    <t xml:space="preserve">Enter interface configuration for Fa0/1; Set Fa0/1 as an access port; Assign Fa0/1 to VLAN 10; Verify that Fa0/1 reports Access Mode VLAN: 10.</t>
  </si>
  <si>
    <t xml:space="preserve">ok</t>
  </si>
  <si>
    <t xml:space="preserve">VLAN 20 is not allowed on the SW1 Gi0/1 trunk, so VLAN 20 traffic cannot traverse this trunk from SW1 to SW2.</t>
  </si>
  <si>
    <t xml:space="preserve">SW1# show interfaces trunk reports "Vlans allowed on trunk: 1,10", while the topology note states that VLAN 20 exists on both switches.</t>
  </si>
  <si>
    <t xml:space="preserve">show interfaces trunk</t>
  </si>
  <si>
    <t xml:space="preserve">Configure the Gi0/1 trunk on SW1 to allow VLAN 20.,Verify that VLAN 20 appears in the trunk's allowed VLAN list.,Verify the corresponding trunk configuration on SW2.</t>
  </si>
  <si>
    <t xml:space="preserve">Fa0/8 is assigned to VLAN 10 instead of the intended VLAN 30, so the PC's DHCP request enters the wrong VLAN and can receive an address from the 192.168.10.x subnet.</t>
  </si>
  <si>
    <t xml:space="preserve">SW1 show interfaces fa0/8 switchport reports Access Mode VLAN: 10 (SALES), while R1 Gi0/0.30 is configured for VLAN 30 with IP address 192.168.30.1/24 and a DHCP helper.</t>
  </si>
  <si>
    <t xml:space="preserve">show interfaces fa0/8 switchport</t>
  </si>
  <si>
    <t xml:space="preserve">Configure Fa0/8 as an access port; Assign Fa0/8 to VLAN 30; Verify that Fa0/8 reports Access Mode VLAN: 30; Test DHCP again from the PC.</t>
  </si>
  <si>
    <t xml:space="preserve">The native VLAN is mismatched between the two ends of the trunk: SW1 Gi0/1 uses native VLAN 1 while SW2 Gi0/1 uses native VLAN 99.</t>
  </si>
  <si>
    <t xml:space="preserve">SW1 show interfaces gi0/1 trunk reports Native vlan: 1; SW2 reports Native vlan: 99; CDP reports NATIVE_VLAN_MISMATCH on GigabitEthernet0/1.</t>
  </si>
  <si>
    <t xml:space="preserve">show interfaces gi0/1 trunk</t>
  </si>
  <si>
    <t xml:space="preserve">Configure the same native VLAN on both ends of the trunk; Verify SW1 Gi0/1 and SW2 Gi0/1 show the same Native VLAN; Confirm the CDP native VLAN mismatch warning is cleared.</t>
  </si>
  <si>
    <t xml:space="preserve">PC2 has an incorrect default gateway. Its gateway is configured as 192.168.10.10, but the topology note states that the gateway should be 192.168.10.1.</t>
  </si>
  <si>
    <t xml:space="preserve">PC2 ipconfig shows IP Address: 192.168.10.25, Subnet Mask: 255.255.255.0, and Default Gateway: 192.168.10.10; the topology note specifies the gateway should be 192.168.10.1.</t>
  </si>
  <si>
    <t xml:space="preserve">ipconfig</t>
  </si>
  <si>
    <t xml:space="preserve">Change PC2's default gateway to 192.168.10.1; Verify the IP configuration; Test connectivity to a device outside the 192.168.10.0/24 subnet.</t>
  </si>
  <si>
    <t xml:space="preserve">The VLAN 10 SVI on SW1 is down/down, so it cannot provide gateway connectivity to hosts in VLAN 10. The output confirms the SVI is not operational, but does not identify why it is down.</t>
  </si>
  <si>
    <t xml:space="preserve">SW1 show ip interface brief reports Vlan10 192.168.10.1 with Status: down and Protocol: down.</t>
  </si>
  <si>
    <t xml:space="preserve">show interfaces vlan10</t>
  </si>
  <si>
    <t xml:space="preserve">Check why the VLAN 10 SVI is down; Ensure VLAN 10 has an active Layer 2 presence; Verify Vlan10 status/protocol become up/up; Test gateway connectivity from a VLAN 10 host.</t>
  </si>
  <si>
    <t xml:space="preserve">HSRP is in an inconsistent state because both R1 and R2 report themselves as Active for group 10. This can cause both routers to answer for the virtual gateway and produce intermittent gateway connectivity.</t>
  </si>
  <si>
    <t xml:space="preserve">R1 show standby brief reports State: Active, Active: local, Standby: R2; R2 reports State: Active, Active: local, Standby: unknown.</t>
  </si>
  <si>
    <t xml:space="preserve">show standby gi0/0.10</t>
  </si>
  <si>
    <t xml:space="preserve">Check the detailed HSRP state and configuration on Gi0/0.10; Ensure R1 and R2 can exchange HSRP hello messages; Verify the intended HSRP priority and active/standby roles; Confirm only one router is Active for group 10.</t>
  </si>
  <si>
    <t xml:space="preserve">The DHCP pool SALES_POOL has only five addresses available, from 192.168.10.10 to 192.168.10.14, and all five are already leased. New PCs therefore have no available address in this pool.</t>
  </si>
  <si>
    <t xml:space="preserve">Layer 7</t>
  </si>
  <si>
    <t xml:space="preserve">show ip dhcp pool SALES_POOL reports Address range: 192.168.10.10 - 192.168.10.14 and Leased addresses: 5; show ip dhcp conflict reports none.</t>
  </si>
  <si>
    <t xml:space="preserve">show ip dhcp pool SALES_POOL</t>
  </si>
  <si>
    <t xml:space="preserve">Expand the available DHCP address range or configure an additional suitable DHCP pool; Verify that free addresses are available; Test DHCP from a new PC.</t>
  </si>
  <si>
    <t xml:space="preserve">The VLAN 20 router sub-interface has no DHCP relay configuration, so DHCP broadcasts from VLAN 20 cannot be forwarded to the DHCP server in VLAN 10.</t>
  </si>
  <si>
    <t xml:space="preserve">R1 show run interface gi0/0.20 shows encapsulation dot1Q 20 and IP address 192.168.20.1/24, but no ip helper-address is configured.</t>
  </si>
  <si>
    <t xml:space="preserve">show run interface gi0/0.20</t>
  </si>
  <si>
    <t xml:space="preserve">Configure an ip helper-address on Gi0/0.20 pointing to the DHCP server; Verify the helper address is present; Renew the DHCP lease on a VLAN 20 host and test again.</t>
  </si>
  <si>
    <t xml:space="preserve">The DHCP pool SALES_POOL does not provide a default gateway to clients. Without a default-router option, clients can receive an IP address and subnet mask but lack the gateway needed for inter-VLAN or internet access.</t>
  </si>
  <si>
    <t xml:space="preserve">show run | section dhcp pool SALES_POOL shows network 192.168.10.0 255.255.255.0 and dns-server 8.8.8.8, but no default-router configured.</t>
  </si>
  <si>
    <t xml:space="preserve">show run | section dhcp pool SALES_POOL</t>
  </si>
  <si>
    <t xml:space="preserve">Configure the appropriate default-router in SALES_POOL; Verify the default-router option is present; Renew the client DHCP lease; Test inter-VLAN and internet connectivity.</t>
  </si>
  <si>
    <t xml:space="preserve">The configured DNS server 192.168.10.200 is unreachable from PC1, so DNS name resolution fails even though IP connectivity works.</t>
  </si>
  <si>
    <t xml:space="preserve">PC1 ipconfig /all shows DNS Server: 192.168.10.200; ping 192.168.10.200 returns Request timed out (4/4 lost).</t>
  </si>
  <si>
    <t xml:space="preserve">ping 192.168.10.200</t>
  </si>
  <si>
    <t xml:space="preserve">Verify connectivity to the DNS server; Correct the DNS server configuration or restore reachability to 192.168.10.200; Test ping google.com again.</t>
  </si>
  <si>
    <t xml:space="preserve">ACL 110 is blocking DNS traffic from VLAN 10 by denying UDP traffic from 192.168.10.0/24 to destination port 53. The ACL is applied inbound on Gi0/0.10, affecting VLAN 10 only.</t>
  </si>
  <si>
    <t xml:space="preserve">show access-lists 110 shows 10 deny udp 192.168.10.0 0.0.0.255 any eq 53"; show run interface gi0/0.10 shows "ip access-group 110 in"."</t>
  </si>
  <si>
    <t xml:space="preserve">show access-lists 110</t>
  </si>
  <si>
    <t xml:space="preserve">Modify ACL 110 so legitimate DNS traffic from VLAN 10 is permitted; Verify the ACL no longer blocks UDP port 53 from 192.168.10.0/24; Test name resolution from a VLAN 10 host.</t>
  </si>
  <si>
    <t xml:space="preserve">R1 is configured to use only the public DNS server 8.8.8.8, so internal hostnames such as fileserver.corp.local cannot be resolved if they are hosted only on the internal DNS server.</t>
  </si>
  <si>
    <t xml:space="preserve">show run | include name-server shows only ip name-server 8.8.8.8"; the internal DNS server 192.168.10.200 is not listed."</t>
  </si>
  <si>
    <t xml:space="preserve">show run | include name-server</t>
  </si>
  <si>
    <t xml:space="preserve">Configure R1 with the internal DNS server address 192.168.10.200; Verify both internal and public DNS servers are configured; Test resolution of an internal hostname and an internet domain.</t>
  </si>
  <si>
    <t xml:space="preserve">R1 has no route to the remote branch subnet 172.16.5.0/24, so VLAN 10 hosts cannot reach that network. The routing table shows only directly connected HQ networks and the serial link.</t>
  </si>
  <si>
    <t xml:space="preserve">show ip route lists connected routes for 192.168.10.0/24, 192.168.20.0/24, and 10.0.0.0/30, but no route to 172.16.5.0/24.</t>
  </si>
  <si>
    <t xml:space="preserve">show ip route 172.16.5.0</t>
  </si>
  <si>
    <t xml:space="preserve">Add a route on R1 toward 172.16.5.0/24 using the serial link; Verify that 172.16.5.0/24 appears in R1's routing table; Test connectivity from a VLAN 10 host to the remote branch subnet.</t>
  </si>
  <si>
    <t xml:space="preserve">R1 and R2 have mismatched OSPF areas on the Serial0/0/0 link. R1 uses Area 0 while R2 uses Area 1, preventing an OSPF adjacency from forming.</t>
  </si>
  <si>
    <t xml:space="preserve">R1 show ip ospf interface serial0/0/0 reports Process ID 1, Area 0; R2 reports Process ID 1, Area 1; R1 show ip ospf neighbor is empty.</t>
  </si>
  <si>
    <t xml:space="preserve">show ip ospf interface serial0/0/0</t>
  </si>
  <si>
    <t xml:space="preserve">Configure the Serial0/0/0 OSPF interface on both routers to use the same area; Verify both sides report the same OSPF area; Check that the OSPF neighbor reaches FULL state.</t>
  </si>
  <si>
    <t xml:space="preserve">R1's OSPF configuration does not include the 192.168.30.0/24 network, so VLAN 30 is not being advertised through OSPF to R2.</t>
  </si>
  <si>
    <t xml:space="preserve">show run | section router ospf shows network statements for 192.168.10.0/24 and 192.168.20.0/24, but no statement for 192.168.30.0/24.</t>
  </si>
  <si>
    <t xml:space="preserve">show run | section router ospf</t>
  </si>
  <si>
    <t xml:space="preserve">Add an OSPF network statement covering 192.168.30.0/24 in area 0; Verify the VLAN 30 network is included in OSPF; Check R2's routing table for the 192.168.30.0/24 OSPF route.</t>
  </si>
  <si>
    <t xml:space="preserve">R1 has no default route for unknown destinations, so internal traffic can work while internet-bound traffic has no route toward the ISP.</t>
  </si>
  <si>
    <t xml:space="preserve">show ip route shows internal OSPF routes but no 0.0.0.0/0 default route; Gi0/1 is configured with IP address 203.0.113.2/30.</t>
  </si>
  <si>
    <t xml:space="preserve">show ip route 0.0.0.0</t>
  </si>
  <si>
    <t xml:space="preserve">Configure a default route toward the ISP using the available Gi0/1 connection; Verify that 0.0.0.0/0 appears in R1's routing table; Test internet connectivity from an internal host.</t>
  </si>
  <si>
    <t xml:space="preserve">The static route to 172.16.5.0/24 via the direct serial link is not selected because the routing table prefers the OSPF route only if the static route is not actually installed. The output is internally inconsistent because a static route with administrative distance 1 should normally be preferred over OSPF distance 110, so the exact reason requires further confirmation.</t>
  </si>
  <si>
    <t xml:space="preserve">show ip route 172.16.5.0 shows an OSPF route with distance 110 via 192.168.99.2, while a static route with distance 1 via 10.0.0.2 is marked not selected"."</t>
  </si>
  <si>
    <t xml:space="preserve">show ip route static</t>
  </si>
  <si>
    <t xml:space="preserve">Verify the installed static routes and determine why the static route via 10.0.0.2 is not being selected; Check the static route configuration and next-hop reachability; Remove or correct the conflicting route after confirming the cause.</t>
  </si>
  <si>
    <t xml:space="preserve">ACL 101 has a broad deny statement for all IP traffic from 192.168.20.0/24 before the specific HTTPS permit statement, so the explicitly permitted traffic is blocked by the earlier rule.</t>
  </si>
  <si>
    <t xml:space="preserve">show access-lists 101 shows 10 deny ip 192.168.20.0 0.0.0.255 any" before "20 permit tcp 192.168.20.0 0.0.0.255 host 192.168.100.10 eq 443"; ACL 101 is applied inbound on Gi0/0.20."</t>
  </si>
  <si>
    <t xml:space="preserve">show access-lists 101</t>
  </si>
  <si>
    <t xml:space="preserve">Reorder or modify ACL 101 so the required HTTPS permit is evaluated before the broad deny; Verify the ACL sequence order; Test HTTPS access from a VLAN 20 host to 192.168.100.10.</t>
  </si>
  <si>
    <t xml:space="preserve">ACL 105 is applied inbound on Gi0/1, but the ACL is intended to filter traffic leaving Gi0/1 toward the ISP. Therefore, outbound traffic does not pass through the ACL in the intended direction.</t>
  </si>
  <si>
    <t xml:space="preserve">show run interface gi0/1 shows ip access-group 105 in"; ACL 105 contains a deny for TCP port 80 followed by a permit for all IP traffic."</t>
  </si>
  <si>
    <t xml:space="preserve">show run interface gi0/1</t>
  </si>
  <si>
    <t xml:space="preserve">Apply ACL 105 in the outbound direction on Gi0/1; Verify the interface shows the ACL applied outbound; Test HTTP traffic toward the ISP.</t>
  </si>
  <si>
    <t xml:space="preserve">ACL 102 contains a deny for host 192.168.10.50 to the server, but no explicit permit statement follows. The implicit deny at the end of the ACL therefore blocks all other traffic that reaches ACL 102.</t>
  </si>
  <si>
    <t xml:space="preserve">show access-lists 102 shows only 10 deny ip host 192.168.10.50 host 192.168.100.10" and no permit statement follows."</t>
  </si>
  <si>
    <t xml:space="preserve">show access-lists 102</t>
  </si>
  <si>
    <t xml:space="preserve">Add an explicit permit statement for the traffic that should remain allowed; Verify the ACL contains the intended deny followed by the required permit; Test access from 192.168.10.50 and another VLAN 10 host.</t>
  </si>
  <si>
    <t xml:space="preserve">ACL 130 is applied inbound on the VLAN 10 sub-interface instead of the intended VLAN 30 sub-interface. Therefore, VLAN 30 guest traffic does not pass through ACL 130.</t>
  </si>
  <si>
    <t xml:space="preserve">show run | include ip access-group shows ACL 130 applied inbound on GigabitEthernet0/0.10, while the output states that Gi0/0.30 has no ACL applied.</t>
  </si>
  <si>
    <t xml:space="preserve">show run interface gi0/0.30</t>
  </si>
  <si>
    <t xml:space="preserve">Apply ACL 130 inbound on the VLAN 30 sub-interface; Verify ACL 130 is applied to Gi0/0.30; Confirm ACL match counters increase when VLAN 30 guests access internal servers.</t>
  </si>
  <si>
    <t xml:space="preserve">PAT/NAT overload is not configured, so internal traffic has no source translation when accessing the internet. The inside and outside interfaces are marked for NAT, but there is no ip nat inside source list ... overload statement.</t>
  </si>
  <si>
    <t xml:space="preserve">show ip nat translations is empty; show run | include ip nat shows Gi0/0.10 as ip nat inside and Gi0/1 as ip nat outside, but no ip nat inside source list ... overload statement is present.</t>
  </si>
  <si>
    <t xml:space="preserve">show run | include ip nat</t>
  </si>
  <si>
    <t xml:space="preserve">Configure the required PAT overload statement using the existing NAT access-list; Verify the overload statement is present; Generate traffic from an internal host and confirm NAT translations appear.</t>
  </si>
  <si>
    <t xml:space="preserve">NAT translations are not occurring because the inside and outside interfaces are not marked with ip nat inside and ip nat outside. The overload statement alone is insufficient without correct NAT interface roles.</t>
  </si>
  <si>
    <t xml:space="preserve">show run interface gi0/0.10 shows the missing ip nat inside; show run interface gi0/1 shows the missing ip nat outside.</t>
  </si>
  <si>
    <t xml:space="preserve">Configure ip nat inside on Gi0/0.10; Configure ip nat outside on Gi0/1; Verify both NAT interface roles and the overload statement; Generate traffic and check for NAT translations.</t>
  </si>
  <si>
    <t xml:space="preserve">The static NAT rule maps public 203.0.113.10:80 to the wrong internal address, 192.168.10.99. The actual web server is 192.168.10.100, so outside traffic is forwarded to the wrong host.</t>
  </si>
  <si>
    <t xml:space="preserve">show run | include ip nat inside source static shows tcp 192.168.10.99 80 mapped to 203.0.113.10 80, while the provided information states the actual web server address is 192.168.10.100.</t>
  </si>
  <si>
    <t xml:space="preserve">show run | include ip nat inside source static</t>
  </si>
  <si>
    <t xml:space="preserve">Correct the static NAT mapping to point 203.0.113.10:80 to 192.168.10.100:80; Verify the corrected static NAT entry; Test access to the public web-server address from outside.</t>
  </si>
  <si>
    <t xml:space="preserve">NAT ACL 1 only permits the VLAN 10 subnet, so VLAN 20 traffic is not included in the set of inside addresses eligible for NAT translation.</t>
  </si>
  <si>
    <t xml:space="preserve">show access-lists 1 shows only 10 permit 192.168.10.0 0.0.0.255" and explicitly indicates that 192.168.20.0/24 is not included."</t>
  </si>
  <si>
    <t xml:space="preserve">show access-lists 1</t>
  </si>
  <si>
    <t xml:space="preserve">Add a permit entry for 192.168.20.0/24 to NAT ACL 1; Verify both VLAN 10 and VLAN 20 networks are permitted; Test internet access from a VLAN 20 host.</t>
  </si>
  <si>
    <t xml:space="preserve">The CorpNet SSID is configured but its SSID broadcast is not enabled, so laptops may not see it in the available networks list.</t>
  </si>
  <si>
    <t xml:space="preserve">show running-config | section dot11 shows dot11 ssid CorpNet" and "vlan 10"</t>
  </si>
  <si>
    <t xml:space="preserve"> but no guest-mode or broadcast-ssid configuration is present."</t>
  </si>
  <si>
    <t xml:space="preserve">show running-config | section dot11</t>
  </si>
  <si>
    <t xml:space="preserve">The AP and client are using different WPA2-PSK passphrases. The AP is configured with Summer2025!, while the client profile uses Summer2024!, so authentication fails.</t>
  </si>
  <si>
    <t xml:space="preserve">AP show run | section wpa reports wpa-psk ascii 0 Summer2025!"</t>
  </si>
  <si>
    <t xml:space="preserve"> while the client profile is configured with passphrase "Summer2024!"."</t>
  </si>
  <si>
    <t xml:space="preserve">show run | section wpa</t>
  </si>
  <si>
    <t xml:space="preserve">The AP and switch port have a VLAN mismatch. The AP is configured for VLAN 30, while SW1 Fa0/12 is an access port in VLAN 10, preventing the wireless client's VLAN traffic from reaching the correct DHCP scope.</t>
  </si>
  <si>
    <t xml:space="preserve">AP show run | include vlan reports vlan 30"; SW1 show interfaces fa0/12 switchport reports "Access VLAN: 10" and the port is an access port rather than a trunk."</t>
  </si>
  <si>
    <t xml:space="preserve">show interfaces fa0/12 switchport</t>
  </si>
  <si>
    <t xml:space="preserve">Configure the AP uplink and SW1 Fa0/12 consistently for the intended VLAN 30; Verify the AP uplink carries VLAN 30 correctly; Renew the wireless client's DHCP lease and verify it receives an IP address.</t>
  </si>
  <si>
    <t xml:space="preserve">AP1 and AP2 are operating on the same Wi-Fi channel (channel 6), which can cause co-channel interference in their overlapping coverage area and contribute to drops and reduced performance.</t>
  </si>
  <si>
    <t xml:space="preserve">AP1 show controllers dot11radio 0 reports Channel: 6"; AP2 reports "Channel: 6". The overlapping coverage and same-channel operation are consistent with co-channel interference</t>
  </si>
  <si>
    <t xml:space="preserve"> but the output does not prove interference is the actual cause."</t>
  </si>
  <si>
    <t xml:space="preserve">show controllers dot11radio 0 | include Channel</t>
  </si>
  <si>
    <t xml:space="preserve">ai_root_cause</t>
  </si>
  <si>
    <t xml:space="preserve">ai_confidence</t>
  </si>
  <si>
    <t xml:space="preserve">verdict</t>
  </si>
  <si>
    <t xml:space="preserve">reviewer_explanation</t>
  </si>
  <si>
    <t xml:space="preserve">AI root cause matched the expected fault, confidence was justified by the evidence given, and next_command added real diagnostic value. No changes needed.</t>
  </si>
  <si>
    <t xml:space="preserve">AI marked confidence as High but its own root_cause text admits it 'does not identify why it is down' -- that's an internal inconsistency. The raw evidence only shows Status: down / Protocol: down, not 'administratively down', so the shutdown cause isn't actually confirmed yet. Reviewer downgraded confidence to Medium and changed next_command to 'show running-config interface vlan10' to check for a shutdown statement before assuming that's the cause.</t>
  </si>
  <si>
    <t xml:space="preserve">Root cause is correct (wrong DNS server IP). But next_command just repeats the ping command whose result (4/4 lost) was already given as evidence -- it adds nothing new. Reviewer changed next_command to 'show ip dhcp binding' to confirm what DNS address clients are actually being handed, which is more useful for the actual fix.</t>
  </si>
  <si>
    <t xml:space="preserve">This is the intentionally ambiguous case in the set. The AI's answer was actually well reasoned -- it correctly flagged the routing table as internally inconsistent and kept confidence at Medium rather than guessing. Reviewer still flags this for a required manual lab check before applying the suggested 'remove or correct the conflicting route' fix, since acting on an unconfirmed cause here could break a currently-working path.</t>
  </si>
  <si>
    <t xml:space="preserve">Root cause and fix direction are correct (ACL applied in instead of out). next_command just re-displays the interface config already shown in the evidence. Reviewer changed it to 'show access-lists 105' so the next step actually inspects the ACL rules themselves.</t>
  </si>
  <si>
    <t xml:space="preserve">Root cause is correct (wrong internal IP in the static NAT mapping). next_command repeats the same 'show run' line already quoted as evidence. Reviewer changed it to 'show ip nat translations' so the next step verifies live translations after the fix is applied, rather than re-reading the same config line.</t>
  </si>
</sst>
</file>

<file path=xl/styles.xml><?xml version="1.0" encoding="utf-8"?>
<styleSheet xmlns="http://schemas.openxmlformats.org/spreadsheetml/2006/main">
  <numFmts count="3">
    <numFmt numFmtId="164" formatCode="General"/>
    <numFmt numFmtId="165" formatCode="General"/>
    <numFmt numFmtId="166" formatCode="0.0%"/>
  </numFmts>
  <fonts count="14">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color rgb="FF666666"/>
      <name val="Arial"/>
      <family val="0"/>
      <charset val="1"/>
    </font>
    <font>
      <b val="true"/>
      <sz val="12"/>
      <color rgb="FFFFFFFF"/>
      <name val="Arial"/>
      <family val="0"/>
      <charset val="1"/>
    </font>
    <font>
      <b val="true"/>
      <sz val="11"/>
      <name val="Arial"/>
      <family val="0"/>
      <charset val="1"/>
    </font>
    <font>
      <b val="true"/>
      <sz val="14"/>
      <color rgb="FF1F4E78"/>
      <name val="Arial"/>
      <family val="0"/>
      <charset val="1"/>
    </font>
    <font>
      <b val="true"/>
      <sz val="11"/>
      <color rgb="FFFFFFFF"/>
      <name val="Arial"/>
      <family val="0"/>
      <charset val="1"/>
    </font>
    <font>
      <sz val="11"/>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2E75B6"/>
        <bgColor rgb="FF4F81BD"/>
      </patternFill>
    </fill>
    <fill>
      <patternFill patternType="solid">
        <fgColor rgb="FFD9E7F5"/>
        <bgColor rgb="FFD9D9D9"/>
      </patternFill>
    </fill>
    <fill>
      <patternFill patternType="solid">
        <fgColor rgb="FF1F4E78"/>
        <bgColor rgb="FF003366"/>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5" fontId="8" fillId="3" borderId="1" xfId="0" applyFont="true" applyBorder="true" applyAlignment="true" applyProtection="false">
      <alignment horizontal="center" vertical="bottom" textRotation="0" wrapText="false" indent="0" shrinkToFit="false"/>
      <protection locked="true" hidden="false"/>
    </xf>
    <xf numFmtId="166" fontId="8" fillId="3" borderId="1" xfId="0" applyFont="true" applyBorder="true" applyAlignment="true" applyProtection="false">
      <alignment horizontal="center"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666666"/>
      <rgbColor rgb="FF800080"/>
      <rgbColor rgb="FF008080"/>
      <rgbColor rgb="FFB7B7B7"/>
      <rgbColor rgb="FF878787"/>
      <rgbColor rgb="FF9999FF"/>
      <rgbColor rgb="FFC0504D"/>
      <rgbColor rgb="FFF9F9F9"/>
      <rgbColor rgb="FFD9E7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BBB59"/>
      <rgbColor rgb="FFFFCC00"/>
      <rgbColor rgb="FFFF9900"/>
      <rgbColor rgb="FFFF6600"/>
      <rgbColor rgb="FF8064A2"/>
      <rgbColor rgb="FF969696"/>
      <rgbColor rgb="FF003366"/>
      <rgbColor rgb="FF4F81BD"/>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Cases by Category</a:t>
            </a:r>
          </a:p>
        </c:rich>
      </c:tx>
      <c:overlay val="0"/>
      <c:spPr>
        <a:noFill/>
        <a:ln w="0">
          <a:noFill/>
        </a:ln>
      </c:spPr>
    </c:title>
    <c:autoTitleDeleted val="0"/>
    <c:plotArea>
      <c:barChart>
        <c:barDir val="col"/>
        <c:grouping val="clustered"/>
        <c:varyColors val="0"/>
        <c:ser>
          <c:idx val="0"/>
          <c:order val="0"/>
          <c:tx>
            <c:strRef>
              <c:f>Summary!B9</c:f>
              <c:strCache>
                <c:ptCount val="1"/>
                <c:pt idx="0">
                  <c:v>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Summary!$A$10:$A$17</c:f>
              <c:strCache>
                <c:ptCount val="8"/>
                <c:pt idx="0">
                  <c:v>ACL</c:v>
                </c:pt>
                <c:pt idx="1">
                  <c:v>DHCP</c:v>
                </c:pt>
                <c:pt idx="2">
                  <c:v>DNS</c:v>
                </c:pt>
                <c:pt idx="3">
                  <c:v>Gateway</c:v>
                </c:pt>
                <c:pt idx="4">
                  <c:v>NAT</c:v>
                </c:pt>
                <c:pt idx="5">
                  <c:v>Routing</c:v>
                </c:pt>
                <c:pt idx="6">
                  <c:v>VLAN</c:v>
                </c:pt>
                <c:pt idx="7">
                  <c:v>Wireless</c:v>
                </c:pt>
              </c:strCache>
            </c:strRef>
          </c:cat>
          <c:val>
            <c:numRef>
              <c:f>Summary!$B$10:$B$17</c:f>
              <c:numCache>
                <c:formatCode>General</c:formatCode>
                <c:ptCount val="8"/>
                <c:pt idx="0">
                  <c:v>4</c:v>
                </c:pt>
                <c:pt idx="1">
                  <c:v>3</c:v>
                </c:pt>
                <c:pt idx="2">
                  <c:v>3</c:v>
                </c:pt>
                <c:pt idx="3">
                  <c:v>3</c:v>
                </c:pt>
                <c:pt idx="4">
                  <c:v>4</c:v>
                </c:pt>
                <c:pt idx="5">
                  <c:v>5</c:v>
                </c:pt>
                <c:pt idx="6">
                  <c:v>4</c:v>
                </c:pt>
                <c:pt idx="7">
                  <c:v>4</c:v>
                </c:pt>
              </c:numCache>
            </c:numRef>
          </c:val>
        </c:ser>
        <c:gapWidth val="150"/>
        <c:overlap val="0"/>
        <c:axId val="56848356"/>
        <c:axId val="67489433"/>
      </c:barChart>
      <c:catAx>
        <c:axId val="5684835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Category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489433"/>
        <c:crosses val="autoZero"/>
        <c:auto val="1"/>
        <c:lblAlgn val="ctr"/>
        <c:lblOffset val="100"/>
        <c:noMultiLvlLbl val="0"/>
      </c:catAx>
      <c:valAx>
        <c:axId val="6748943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84835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Cases by Severity</a:t>
            </a:r>
          </a:p>
        </c:rich>
      </c:tx>
      <c:overlay val="0"/>
      <c:spPr>
        <a:noFill/>
        <a:ln w="0">
          <a:noFill/>
        </a:ln>
      </c:spPr>
    </c:title>
    <c:autoTitleDeleted val="0"/>
    <c:plotArea>
      <c:pieChart>
        <c:varyColors val="1"/>
        <c:ser>
          <c:idx val="0"/>
          <c:order val="0"/>
          <c:tx>
            <c:strRef>
              <c:f>Summary!B20</c:f>
              <c:strCache>
                <c:ptCount val="1"/>
                <c:pt idx="0">
                  <c:v>Count</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Summary!$A$21:$A$24</c:f>
              <c:strCache>
                <c:ptCount val="4"/>
                <c:pt idx="0">
                  <c:v>High</c:v>
                </c:pt>
                <c:pt idx="1">
                  <c:v>Medium</c:v>
                </c:pt>
                <c:pt idx="2">
                  <c:v>Low</c:v>
                </c:pt>
                <c:pt idx="3">
                  <c:v/>
                </c:pt>
              </c:strCache>
            </c:strRef>
          </c:cat>
          <c:val>
            <c:numRef>
              <c:f>Summary!$B$21:$B$24</c:f>
              <c:numCache>
                <c:formatCode>General</c:formatCode>
                <c:ptCount val="4"/>
                <c:pt idx="0">
                  <c:v>15</c:v>
                </c:pt>
                <c:pt idx="1">
                  <c:v>13</c:v>
                </c:pt>
                <c:pt idx="2">
                  <c:v>2</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AI vs Human Review</a:t>
            </a:r>
          </a:p>
        </c:rich>
      </c:tx>
      <c:overlay val="0"/>
      <c:spPr>
        <a:noFill/>
        <a:ln w="0">
          <a:noFill/>
        </a:ln>
      </c:spPr>
    </c:title>
    <c:autoTitleDeleted val="0"/>
    <c:plotArea>
      <c:barChart>
        <c:barDir val="col"/>
        <c:grouping val="clustered"/>
        <c:varyColors val="0"/>
        <c:ser>
          <c:idx val="0"/>
          <c:order val="0"/>
          <c:tx>
            <c:strRef>
              <c:f>Summary!B26</c:f>
              <c:strCache>
                <c:ptCount val="1"/>
                <c:pt idx="0">
                  <c:v>Count</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Summary!$A$27:$A$29</c:f>
              <c:strCache>
                <c:ptCount val="3"/>
                <c:pt idx="0">
                  <c:v>Accepted</c:v>
                </c:pt>
                <c:pt idx="1">
                  <c:v>Edited</c:v>
                </c:pt>
                <c:pt idx="2">
                  <c:v>Rejected</c:v>
                </c:pt>
              </c:strCache>
            </c:strRef>
          </c:cat>
          <c:val>
            <c:numRef>
              <c:f>Summary!$B$27:$B$29</c:f>
              <c:numCache>
                <c:formatCode>General</c:formatCode>
                <c:ptCount val="3"/>
                <c:pt idx="0">
                  <c:v>25</c:v>
                </c:pt>
                <c:pt idx="1">
                  <c:v>5</c:v>
                </c:pt>
                <c:pt idx="2">
                  <c:v>0</c:v>
                </c:pt>
              </c:numCache>
            </c:numRef>
          </c:val>
        </c:ser>
        <c:gapWidth val="150"/>
        <c:overlap val="0"/>
        <c:axId val="50840879"/>
        <c:axId val="29501748"/>
      </c:barChart>
      <c:catAx>
        <c:axId val="5084087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501748"/>
        <c:crosses val="autoZero"/>
        <c:auto val="1"/>
        <c:lblAlgn val="ctr"/>
        <c:lblOffset val="100"/>
        <c:noMultiLvlLbl val="0"/>
      </c:catAx>
      <c:valAx>
        <c:axId val="2950174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84087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100800</xdr:rowOff>
    </xdr:from>
    <xdr:to>
      <xdr:col>10</xdr:col>
      <xdr:colOff>56160</xdr:colOff>
      <xdr:row>22</xdr:row>
      <xdr:rowOff>123120</xdr:rowOff>
    </xdr:to>
    <xdr:graphicFrame>
      <xdr:nvGraphicFramePr>
        <xdr:cNvPr id="0" name="Chart 1"/>
        <xdr:cNvGraphicFramePr/>
      </xdr:nvGraphicFramePr>
      <xdr:xfrm>
        <a:off x="3242160" y="152388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25</xdr:row>
      <xdr:rowOff>100800</xdr:rowOff>
    </xdr:from>
    <xdr:to>
      <xdr:col>7</xdr:col>
      <xdr:colOff>450360</xdr:colOff>
      <xdr:row>40</xdr:row>
      <xdr:rowOff>123120</xdr:rowOff>
    </xdr:to>
    <xdr:graphicFrame>
      <xdr:nvGraphicFramePr>
        <xdr:cNvPr id="1" name="Chart 2"/>
        <xdr:cNvGraphicFramePr/>
      </xdr:nvGraphicFramePr>
      <xdr:xfrm>
        <a:off x="3242160" y="4952880"/>
        <a:ext cx="359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25</xdr:row>
      <xdr:rowOff>100800</xdr:rowOff>
    </xdr:from>
    <xdr:to>
      <xdr:col>14</xdr:col>
      <xdr:colOff>542160</xdr:colOff>
      <xdr:row>40</xdr:row>
      <xdr:rowOff>123120</xdr:rowOff>
    </xdr:to>
    <xdr:graphicFrame>
      <xdr:nvGraphicFramePr>
        <xdr:cNvPr id="2" name="Chart 3"/>
        <xdr:cNvGraphicFramePr/>
      </xdr:nvGraphicFramePr>
      <xdr:xfrm>
        <a:off x="7614360" y="4952880"/>
        <a:ext cx="359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6" min="2" style="0" width="12"/>
  </cols>
  <sheetData>
    <row r="1" customFormat="false" ht="19.7"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15" hidden="false" customHeight="false" outlineLevel="0" collapsed="false">
      <c r="A4" s="3" t="s">
        <v>2</v>
      </c>
      <c r="B4" s="3"/>
      <c r="C4" s="3"/>
      <c r="D4" s="3"/>
      <c r="E4" s="3"/>
      <c r="F4" s="3"/>
    </row>
    <row r="5" customFormat="false" ht="15" hidden="false" customHeight="false" outlineLevel="0" collapsed="false">
      <c r="A5" s="4" t="s">
        <v>3</v>
      </c>
      <c r="B5" s="4" t="s">
        <v>4</v>
      </c>
      <c r="C5" s="4" t="s">
        <v>5</v>
      </c>
      <c r="D5" s="4" t="s">
        <v>6</v>
      </c>
      <c r="E5" s="4" t="s">
        <v>7</v>
      </c>
    </row>
    <row r="6" customFormat="false" ht="17.35" hidden="false" customHeight="false" outlineLevel="0" collapsed="false">
      <c r="A6" s="5" t="n">
        <f aca="false">COUNTA(Cases!A2:A31)</f>
        <v>30</v>
      </c>
      <c r="B6" s="5" t="n">
        <f aca="false">COUNTA(AI_Diagnoses!A2:A31)</f>
        <v>30</v>
      </c>
      <c r="C6" s="5" t="n">
        <f aca="false">COUNTA(Human_Review!A2:A31)</f>
        <v>30</v>
      </c>
      <c r="D6" s="6" t="n">
        <f aca="false">COUNTIF(Human_Review!$F$2:$F$31,"Accepted")/COUNTA(Human_Review!A2:A31)</f>
        <v>0.833333333333333</v>
      </c>
      <c r="E6" s="5" t="n">
        <f aca="false">COUNTIF(B10:B17,"&gt;0")</f>
        <v>8</v>
      </c>
    </row>
    <row r="8" customFormat="false" ht="15" hidden="false" customHeight="false" outlineLevel="0" collapsed="false">
      <c r="A8" s="3" t="s">
        <v>8</v>
      </c>
      <c r="B8" s="3"/>
    </row>
    <row r="9" customFormat="false" ht="15" hidden="false" customHeight="false" outlineLevel="0" collapsed="false">
      <c r="A9" s="7" t="s">
        <v>9</v>
      </c>
      <c r="B9" s="7" t="s">
        <v>10</v>
      </c>
    </row>
    <row r="10" customFormat="false" ht="15" hidden="false" customHeight="false" outlineLevel="0" collapsed="false">
      <c r="A10" s="8" t="s">
        <v>11</v>
      </c>
      <c r="B10" s="8" t="n">
        <f aca="false">COUNTIF(Cases!$B$2:$B$31,A10)</f>
        <v>4</v>
      </c>
    </row>
    <row r="11" customFormat="false" ht="15" hidden="false" customHeight="false" outlineLevel="0" collapsed="false">
      <c r="A11" s="8" t="s">
        <v>12</v>
      </c>
      <c r="B11" s="8" t="n">
        <f aca="false">COUNTIF(Cases!$B$2:$B$31,A11)</f>
        <v>3</v>
      </c>
    </row>
    <row r="12" customFormat="false" ht="15" hidden="false" customHeight="false" outlineLevel="0" collapsed="false">
      <c r="A12" s="8" t="s">
        <v>13</v>
      </c>
      <c r="B12" s="8" t="n">
        <f aca="false">COUNTIF(Cases!$B$2:$B$31,A12)</f>
        <v>3</v>
      </c>
    </row>
    <row r="13" customFormat="false" ht="15" hidden="false" customHeight="false" outlineLevel="0" collapsed="false">
      <c r="A13" s="8" t="s">
        <v>14</v>
      </c>
      <c r="B13" s="8" t="n">
        <f aca="false">COUNTIF(Cases!$B$2:$B$31,A13)</f>
        <v>3</v>
      </c>
    </row>
    <row r="14" customFormat="false" ht="15" hidden="false" customHeight="false" outlineLevel="0" collapsed="false">
      <c r="A14" s="8" t="s">
        <v>15</v>
      </c>
      <c r="B14" s="8" t="n">
        <f aca="false">COUNTIF(Cases!$B$2:$B$31,A14)</f>
        <v>4</v>
      </c>
    </row>
    <row r="15" customFormat="false" ht="15" hidden="false" customHeight="false" outlineLevel="0" collapsed="false">
      <c r="A15" s="8" t="s">
        <v>16</v>
      </c>
      <c r="B15" s="8" t="n">
        <f aca="false">COUNTIF(Cases!$B$2:$B$31,A15)</f>
        <v>5</v>
      </c>
    </row>
    <row r="16" customFormat="false" ht="15" hidden="false" customHeight="false" outlineLevel="0" collapsed="false">
      <c r="A16" s="8" t="s">
        <v>17</v>
      </c>
      <c r="B16" s="8" t="n">
        <f aca="false">COUNTIF(Cases!$B$2:$B$31,A16)</f>
        <v>4</v>
      </c>
    </row>
    <row r="17" customFormat="false" ht="15" hidden="false" customHeight="false" outlineLevel="0" collapsed="false">
      <c r="A17" s="8" t="s">
        <v>18</v>
      </c>
      <c r="B17" s="8" t="n">
        <f aca="false">COUNTIF(Cases!$B$2:$B$31,A17)</f>
        <v>4</v>
      </c>
    </row>
    <row r="18" customFormat="false" ht="15" hidden="false" customHeight="false" outlineLevel="0" collapsed="false">
      <c r="A18" s="9" t="s">
        <v>19</v>
      </c>
      <c r="B18" s="9" t="n">
        <f aca="false">SUM(B10:B17)</f>
        <v>30</v>
      </c>
    </row>
    <row r="19" customFormat="false" ht="15" hidden="false" customHeight="false" outlineLevel="0" collapsed="false">
      <c r="A19" s="3" t="s">
        <v>20</v>
      </c>
      <c r="B19" s="3"/>
    </row>
    <row r="20" customFormat="false" ht="15" hidden="false" customHeight="false" outlineLevel="0" collapsed="false">
      <c r="A20" s="7" t="s">
        <v>21</v>
      </c>
      <c r="B20" s="7" t="s">
        <v>10</v>
      </c>
    </row>
    <row r="21" customFormat="false" ht="15" hidden="false" customHeight="false" outlineLevel="0" collapsed="false">
      <c r="A21" s="8" t="s">
        <v>22</v>
      </c>
      <c r="B21" s="8" t="n">
        <f aca="false">COUNTIF(Cases!$I$2:$I$31,A21)</f>
        <v>15</v>
      </c>
    </row>
    <row r="22" customFormat="false" ht="15" hidden="false" customHeight="false" outlineLevel="0" collapsed="false">
      <c r="A22" s="8" t="s">
        <v>23</v>
      </c>
      <c r="B22" s="8" t="n">
        <f aca="false">COUNTIF(Cases!$I$2:$I$31,A22)</f>
        <v>13</v>
      </c>
    </row>
    <row r="23" customFormat="false" ht="15" hidden="false" customHeight="false" outlineLevel="0" collapsed="false">
      <c r="A23" s="8" t="s">
        <v>24</v>
      </c>
      <c r="B23" s="8" t="n">
        <f aca="false">COUNTIF(Cases!$I$2:$I$31,A23)</f>
        <v>2</v>
      </c>
    </row>
    <row r="25" customFormat="false" ht="15" hidden="false" customHeight="false" outlineLevel="0" collapsed="false">
      <c r="A25" s="3" t="s">
        <v>25</v>
      </c>
      <c r="B25" s="3"/>
    </row>
    <row r="26" customFormat="false" ht="15" hidden="false" customHeight="false" outlineLevel="0" collapsed="false">
      <c r="A26" s="7" t="s">
        <v>26</v>
      </c>
      <c r="B26" s="7" t="s">
        <v>10</v>
      </c>
    </row>
    <row r="27" customFormat="false" ht="15" hidden="false" customHeight="false" outlineLevel="0" collapsed="false">
      <c r="A27" s="8" t="s">
        <v>27</v>
      </c>
      <c r="B27" s="8" t="n">
        <f aca="false">COUNTIF(Human_Review!$F$2:$F$31,A27)</f>
        <v>25</v>
      </c>
    </row>
    <row r="28" customFormat="false" ht="15" hidden="false" customHeight="false" outlineLevel="0" collapsed="false">
      <c r="A28" s="8" t="s">
        <v>28</v>
      </c>
      <c r="B28" s="8" t="n">
        <f aca="false">COUNTIF(Human_Review!$F$2:$F$31,A28)</f>
        <v>5</v>
      </c>
    </row>
    <row r="29" customFormat="false" ht="15" hidden="false" customHeight="false" outlineLevel="0" collapsed="false">
      <c r="A29" s="8" t="s">
        <v>29</v>
      </c>
      <c r="B29" s="8" t="n">
        <f aca="false">COUNTIF(Human_Review!$F$2:$F$31,A29)</f>
        <v>0</v>
      </c>
    </row>
    <row r="30" customFormat="false" ht="15" hidden="false" customHeight="false" outlineLevel="0" collapsed="false">
      <c r="A30" s="9" t="s">
        <v>30</v>
      </c>
      <c r="B30" s="9" t="n">
        <f aca="false">SUM(B27:B29)</f>
        <v>30</v>
      </c>
    </row>
    <row r="31" customFormat="false" ht="15" hidden="false" customHeight="false" outlineLevel="0" collapsed="false">
      <c r="A31" s="3" t="s">
        <v>31</v>
      </c>
      <c r="B31" s="3"/>
    </row>
    <row r="32" customFormat="false" ht="15" hidden="false" customHeight="false" outlineLevel="0" collapsed="false">
      <c r="A32" s="7" t="s">
        <v>32</v>
      </c>
      <c r="B32" s="7" t="s">
        <v>10</v>
      </c>
    </row>
    <row r="33" customFormat="false" ht="15" hidden="false" customHeight="false" outlineLevel="0" collapsed="false">
      <c r="A33" s="8" t="s">
        <v>22</v>
      </c>
      <c r="B33" s="8" t="n">
        <f aca="false">COUNTIF(AI_Diagnoses!$D$2:$D$31,A33)</f>
        <v>28</v>
      </c>
    </row>
    <row r="34" customFormat="false" ht="15" hidden="false" customHeight="false" outlineLevel="0" collapsed="false">
      <c r="A34" s="8" t="s">
        <v>23</v>
      </c>
      <c r="B34" s="8" t="n">
        <f aca="false">COUNTIF(AI_Diagnoses!$D$2:$D$31,A34)</f>
        <v>2</v>
      </c>
    </row>
    <row r="35" customFormat="false" ht="15" hidden="false" customHeight="false" outlineLevel="0" collapsed="false">
      <c r="A35" s="8" t="s">
        <v>24</v>
      </c>
      <c r="B35" s="8" t="n">
        <f aca="false">COUNTIF(AI_Diagnoses!$D$2:$D$31,A35)</f>
        <v>0</v>
      </c>
    </row>
    <row r="36" customFormat="false" ht="15" hidden="false" customHeight="false" outlineLevel="0" collapsed="false">
      <c r="A36" s="9" t="s">
        <v>19</v>
      </c>
      <c r="B36" s="9" t="n">
        <f aca="false">SUM(B33:B35)</f>
        <v>30</v>
      </c>
    </row>
  </sheetData>
  <mergeCells count="7">
    <mergeCell ref="A1:F1"/>
    <mergeCell ref="A2:F2"/>
    <mergeCell ref="A4:F4"/>
    <mergeCell ref="A8:B8"/>
    <mergeCell ref="A19:B19"/>
    <mergeCell ref="A25:B25"/>
    <mergeCell ref="A31:B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6" min="3" style="0" width="60"/>
    <col collapsed="false" customWidth="true" hidden="false" outlineLevel="0" max="7" min="7" style="0" width="42"/>
    <col collapsed="false" customWidth="true" hidden="false" outlineLevel="0" max="8" min="8" style="0" width="35"/>
    <col collapsed="false" customWidth="true" hidden="false" outlineLevel="0" max="9" min="9" style="0" width="12"/>
  </cols>
  <sheetData>
    <row r="1" customFormat="false" ht="15" hidden="false" customHeight="false" outlineLevel="0" collapsed="false">
      <c r="A1" s="7" t="s">
        <v>33</v>
      </c>
      <c r="B1" s="7" t="s">
        <v>34</v>
      </c>
      <c r="C1" s="7" t="s">
        <v>35</v>
      </c>
      <c r="D1" s="7" t="s">
        <v>36</v>
      </c>
      <c r="E1" s="7" t="s">
        <v>37</v>
      </c>
      <c r="F1" s="7" t="s">
        <v>38</v>
      </c>
      <c r="G1" s="7" t="s">
        <v>39</v>
      </c>
      <c r="H1" s="7" t="s">
        <v>40</v>
      </c>
      <c r="I1" s="7" t="s">
        <v>41</v>
      </c>
    </row>
    <row r="2" customFormat="false" ht="15" hidden="false" customHeight="false" outlineLevel="0" collapsed="false">
      <c r="A2" s="8" t="s">
        <v>42</v>
      </c>
      <c r="B2" s="8" t="s">
        <v>17</v>
      </c>
      <c r="C2" s="8" t="s">
        <v>43</v>
      </c>
      <c r="D2" s="8" t="s">
        <v>44</v>
      </c>
      <c r="E2" s="10" t="s">
        <v>45</v>
      </c>
      <c r="F2" s="8" t="s">
        <v>46</v>
      </c>
      <c r="G2" s="8" t="s">
        <v>47</v>
      </c>
      <c r="H2" s="8" t="s">
        <v>48</v>
      </c>
      <c r="I2" s="8" t="s">
        <v>22</v>
      </c>
    </row>
    <row r="3" customFormat="false" ht="15" hidden="false" customHeight="false" outlineLevel="0" collapsed="false">
      <c r="A3" s="8" t="s">
        <v>49</v>
      </c>
      <c r="B3" s="8" t="s">
        <v>17</v>
      </c>
      <c r="C3" s="8" t="s">
        <v>50</v>
      </c>
      <c r="D3" s="8" t="s">
        <v>51</v>
      </c>
      <c r="E3" s="10" t="s">
        <v>52</v>
      </c>
      <c r="F3" s="8" t="s">
        <v>53</v>
      </c>
      <c r="G3" s="8" t="s">
        <v>47</v>
      </c>
      <c r="H3" s="8" t="s">
        <v>54</v>
      </c>
      <c r="I3" s="8" t="s">
        <v>22</v>
      </c>
    </row>
    <row r="4" customFormat="false" ht="15" hidden="false" customHeight="false" outlineLevel="0" collapsed="false">
      <c r="A4" s="8" t="s">
        <v>55</v>
      </c>
      <c r="B4" s="8" t="s">
        <v>17</v>
      </c>
      <c r="C4" s="8" t="s">
        <v>56</v>
      </c>
      <c r="D4" s="8" t="s">
        <v>57</v>
      </c>
      <c r="E4" s="10" t="s">
        <v>58</v>
      </c>
      <c r="F4" s="8" t="s">
        <v>59</v>
      </c>
      <c r="G4" s="8" t="s">
        <v>47</v>
      </c>
      <c r="H4" s="8" t="s">
        <v>48</v>
      </c>
      <c r="I4" s="8" t="s">
        <v>23</v>
      </c>
    </row>
    <row r="5" customFormat="false" ht="15" hidden="false" customHeight="false" outlineLevel="0" collapsed="false">
      <c r="A5" s="8" t="s">
        <v>60</v>
      </c>
      <c r="B5" s="8" t="s">
        <v>17</v>
      </c>
      <c r="C5" s="8" t="s">
        <v>61</v>
      </c>
      <c r="D5" s="8" t="s">
        <v>62</v>
      </c>
      <c r="E5" s="10" t="s">
        <v>63</v>
      </c>
      <c r="F5" s="8" t="s">
        <v>64</v>
      </c>
      <c r="G5" s="8" t="s">
        <v>47</v>
      </c>
      <c r="H5" s="8" t="s">
        <v>65</v>
      </c>
      <c r="I5" s="8" t="s">
        <v>23</v>
      </c>
    </row>
    <row r="6" customFormat="false" ht="15" hidden="false" customHeight="false" outlineLevel="0" collapsed="false">
      <c r="A6" s="8" t="s">
        <v>66</v>
      </c>
      <c r="B6" s="8" t="s">
        <v>14</v>
      </c>
      <c r="C6" s="8" t="s">
        <v>67</v>
      </c>
      <c r="D6" s="8" t="s">
        <v>68</v>
      </c>
      <c r="E6" s="10" t="s">
        <v>69</v>
      </c>
      <c r="F6" s="8" t="s">
        <v>70</v>
      </c>
      <c r="G6" s="8" t="s">
        <v>71</v>
      </c>
      <c r="H6" s="8" t="s">
        <v>72</v>
      </c>
      <c r="I6" s="8" t="s">
        <v>22</v>
      </c>
    </row>
    <row r="7" customFormat="false" ht="15" hidden="false" customHeight="false" outlineLevel="0" collapsed="false">
      <c r="A7" s="8" t="s">
        <v>73</v>
      </c>
      <c r="B7" s="8" t="s">
        <v>14</v>
      </c>
      <c r="C7" s="8" t="s">
        <v>74</v>
      </c>
      <c r="D7" s="8" t="s">
        <v>75</v>
      </c>
      <c r="E7" s="10" t="s">
        <v>76</v>
      </c>
      <c r="F7" s="8" t="s">
        <v>77</v>
      </c>
      <c r="G7" s="8" t="s">
        <v>71</v>
      </c>
      <c r="H7" s="8" t="s">
        <v>78</v>
      </c>
      <c r="I7" s="8" t="s">
        <v>22</v>
      </c>
    </row>
    <row r="8" customFormat="false" ht="15" hidden="false" customHeight="false" outlineLevel="0" collapsed="false">
      <c r="A8" s="8" t="s">
        <v>79</v>
      </c>
      <c r="B8" s="8" t="s">
        <v>14</v>
      </c>
      <c r="C8" s="8" t="s">
        <v>80</v>
      </c>
      <c r="D8" s="8" t="s">
        <v>81</v>
      </c>
      <c r="E8" s="10" t="s">
        <v>82</v>
      </c>
      <c r="F8" s="8" t="s">
        <v>83</v>
      </c>
      <c r="G8" s="8" t="s">
        <v>71</v>
      </c>
      <c r="H8" s="8" t="s">
        <v>84</v>
      </c>
      <c r="I8" s="8" t="s">
        <v>22</v>
      </c>
    </row>
    <row r="9" customFormat="false" ht="15" hidden="false" customHeight="false" outlineLevel="0" collapsed="false">
      <c r="A9" s="8" t="s">
        <v>85</v>
      </c>
      <c r="B9" s="8" t="s">
        <v>12</v>
      </c>
      <c r="C9" s="8" t="s">
        <v>86</v>
      </c>
      <c r="D9" s="8" t="s">
        <v>87</v>
      </c>
      <c r="E9" s="10" t="s">
        <v>88</v>
      </c>
      <c r="F9" s="8" t="s">
        <v>89</v>
      </c>
      <c r="G9" s="8" t="s">
        <v>90</v>
      </c>
      <c r="H9" s="8" t="s">
        <v>91</v>
      </c>
      <c r="I9" s="8" t="s">
        <v>23</v>
      </c>
    </row>
    <row r="10" customFormat="false" ht="15" hidden="false" customHeight="false" outlineLevel="0" collapsed="false">
      <c r="A10" s="8" t="s">
        <v>92</v>
      </c>
      <c r="B10" s="8" t="s">
        <v>12</v>
      </c>
      <c r="C10" s="8" t="s">
        <v>93</v>
      </c>
      <c r="D10" s="8" t="s">
        <v>94</v>
      </c>
      <c r="E10" s="10" t="s">
        <v>95</v>
      </c>
      <c r="F10" s="8" t="s">
        <v>96</v>
      </c>
      <c r="G10" s="8" t="s">
        <v>71</v>
      </c>
      <c r="H10" s="8" t="s">
        <v>97</v>
      </c>
      <c r="I10" s="8" t="s">
        <v>22</v>
      </c>
    </row>
    <row r="11" customFormat="false" ht="15" hidden="false" customHeight="false" outlineLevel="0" collapsed="false">
      <c r="A11" s="8" t="s">
        <v>98</v>
      </c>
      <c r="B11" s="8" t="s">
        <v>12</v>
      </c>
      <c r="C11" s="8" t="s">
        <v>99</v>
      </c>
      <c r="D11" s="8" t="s">
        <v>100</v>
      </c>
      <c r="E11" s="10" t="s">
        <v>101</v>
      </c>
      <c r="F11" s="8" t="s">
        <v>102</v>
      </c>
      <c r="G11" s="8" t="s">
        <v>71</v>
      </c>
      <c r="H11" s="8" t="s">
        <v>103</v>
      </c>
      <c r="I11" s="8" t="s">
        <v>23</v>
      </c>
    </row>
    <row r="12" customFormat="false" ht="15" hidden="false" customHeight="false" outlineLevel="0" collapsed="false">
      <c r="A12" s="8" t="s">
        <v>104</v>
      </c>
      <c r="B12" s="8" t="s">
        <v>13</v>
      </c>
      <c r="C12" s="8" t="s">
        <v>105</v>
      </c>
      <c r="D12" s="8" t="s">
        <v>106</v>
      </c>
      <c r="E12" s="10" t="s">
        <v>107</v>
      </c>
      <c r="F12" s="8" t="s">
        <v>108</v>
      </c>
      <c r="G12" s="8" t="s">
        <v>109</v>
      </c>
      <c r="H12" s="8" t="s">
        <v>110</v>
      </c>
      <c r="I12" s="8" t="s">
        <v>23</v>
      </c>
    </row>
    <row r="13" customFormat="false" ht="15" hidden="false" customHeight="false" outlineLevel="0" collapsed="false">
      <c r="A13" s="8" t="s">
        <v>111</v>
      </c>
      <c r="B13" s="8" t="s">
        <v>13</v>
      </c>
      <c r="C13" s="8" t="s">
        <v>112</v>
      </c>
      <c r="D13" s="8" t="s">
        <v>113</v>
      </c>
      <c r="E13" s="10" t="s">
        <v>114</v>
      </c>
      <c r="F13" s="8" t="s">
        <v>115</v>
      </c>
      <c r="G13" s="8" t="s">
        <v>116</v>
      </c>
      <c r="H13" s="8" t="s">
        <v>117</v>
      </c>
      <c r="I13" s="8" t="s">
        <v>22</v>
      </c>
    </row>
    <row r="14" customFormat="false" ht="15" hidden="false" customHeight="false" outlineLevel="0" collapsed="false">
      <c r="A14" s="8" t="s">
        <v>118</v>
      </c>
      <c r="B14" s="8" t="s">
        <v>13</v>
      </c>
      <c r="C14" s="8" t="s">
        <v>119</v>
      </c>
      <c r="D14" s="8" t="s">
        <v>120</v>
      </c>
      <c r="E14" s="10" t="s">
        <v>121</v>
      </c>
      <c r="F14" s="8" t="s">
        <v>122</v>
      </c>
      <c r="G14" s="8" t="s">
        <v>109</v>
      </c>
      <c r="H14" s="8" t="s">
        <v>123</v>
      </c>
      <c r="I14" s="8" t="s">
        <v>23</v>
      </c>
    </row>
    <row r="15" customFormat="false" ht="15" hidden="false" customHeight="false" outlineLevel="0" collapsed="false">
      <c r="A15" s="8" t="s">
        <v>124</v>
      </c>
      <c r="B15" s="8" t="s">
        <v>16</v>
      </c>
      <c r="C15" s="8" t="s">
        <v>125</v>
      </c>
      <c r="D15" s="8" t="s">
        <v>126</v>
      </c>
      <c r="E15" s="10" t="s">
        <v>127</v>
      </c>
      <c r="F15" s="8" t="s">
        <v>128</v>
      </c>
      <c r="G15" s="8" t="s">
        <v>71</v>
      </c>
      <c r="H15" s="8" t="s">
        <v>129</v>
      </c>
      <c r="I15" s="8" t="s">
        <v>22</v>
      </c>
    </row>
    <row r="16" customFormat="false" ht="15" hidden="false" customHeight="false" outlineLevel="0" collapsed="false">
      <c r="A16" s="8" t="s">
        <v>130</v>
      </c>
      <c r="B16" s="8" t="s">
        <v>16</v>
      </c>
      <c r="C16" s="8" t="s">
        <v>131</v>
      </c>
      <c r="D16" s="8" t="s">
        <v>132</v>
      </c>
      <c r="E16" s="10" t="s">
        <v>133</v>
      </c>
      <c r="F16" s="8" t="s">
        <v>134</v>
      </c>
      <c r="G16" s="8" t="s">
        <v>71</v>
      </c>
      <c r="H16" s="8" t="s">
        <v>135</v>
      </c>
      <c r="I16" s="8" t="s">
        <v>22</v>
      </c>
    </row>
    <row r="17" customFormat="false" ht="15" hidden="false" customHeight="false" outlineLevel="0" collapsed="false">
      <c r="A17" s="8" t="s">
        <v>136</v>
      </c>
      <c r="B17" s="8" t="s">
        <v>16</v>
      </c>
      <c r="C17" s="8" t="s">
        <v>137</v>
      </c>
      <c r="D17" s="8" t="s">
        <v>138</v>
      </c>
      <c r="E17" s="10" t="s">
        <v>139</v>
      </c>
      <c r="F17" s="8" t="s">
        <v>140</v>
      </c>
      <c r="G17" s="8" t="s">
        <v>71</v>
      </c>
      <c r="H17" s="8" t="s">
        <v>141</v>
      </c>
      <c r="I17" s="8" t="s">
        <v>23</v>
      </c>
    </row>
    <row r="18" customFormat="false" ht="15" hidden="false" customHeight="false" outlineLevel="0" collapsed="false">
      <c r="A18" s="8" t="s">
        <v>142</v>
      </c>
      <c r="B18" s="8" t="s">
        <v>16</v>
      </c>
      <c r="C18" s="8" t="s">
        <v>143</v>
      </c>
      <c r="D18" s="8" t="s">
        <v>144</v>
      </c>
      <c r="E18" s="10" t="s">
        <v>145</v>
      </c>
      <c r="F18" s="8" t="s">
        <v>146</v>
      </c>
      <c r="G18" s="8" t="s">
        <v>71</v>
      </c>
      <c r="H18" s="8" t="s">
        <v>147</v>
      </c>
      <c r="I18" s="8" t="s">
        <v>22</v>
      </c>
    </row>
    <row r="19" customFormat="false" ht="15" hidden="false" customHeight="false" outlineLevel="0" collapsed="false">
      <c r="A19" s="8" t="s">
        <v>148</v>
      </c>
      <c r="B19" s="8" t="s">
        <v>16</v>
      </c>
      <c r="C19" s="8" t="s">
        <v>149</v>
      </c>
      <c r="D19" s="8" t="s">
        <v>150</v>
      </c>
      <c r="E19" s="10" t="s">
        <v>151</v>
      </c>
      <c r="F19" s="8" t="s">
        <v>152</v>
      </c>
      <c r="G19" s="8" t="s">
        <v>71</v>
      </c>
      <c r="H19" s="8" t="s">
        <v>153</v>
      </c>
      <c r="I19" s="8" t="s">
        <v>24</v>
      </c>
    </row>
    <row r="20" customFormat="false" ht="15" hidden="false" customHeight="false" outlineLevel="0" collapsed="false">
      <c r="A20" s="8" t="s">
        <v>154</v>
      </c>
      <c r="B20" s="8" t="s">
        <v>11</v>
      </c>
      <c r="C20" s="8" t="s">
        <v>155</v>
      </c>
      <c r="D20" s="8" t="s">
        <v>156</v>
      </c>
      <c r="E20" s="10" t="s">
        <v>157</v>
      </c>
      <c r="F20" s="8" t="s">
        <v>158</v>
      </c>
      <c r="G20" s="8" t="s">
        <v>159</v>
      </c>
      <c r="H20" s="8" t="s">
        <v>160</v>
      </c>
      <c r="I20" s="8" t="s">
        <v>22</v>
      </c>
    </row>
    <row r="21" customFormat="false" ht="15" hidden="false" customHeight="false" outlineLevel="0" collapsed="false">
      <c r="A21" s="8" t="s">
        <v>161</v>
      </c>
      <c r="B21" s="8" t="s">
        <v>11</v>
      </c>
      <c r="C21" s="8" t="s">
        <v>162</v>
      </c>
      <c r="D21" s="8" t="s">
        <v>163</v>
      </c>
      <c r="E21" s="10" t="s">
        <v>164</v>
      </c>
      <c r="F21" s="8" t="s">
        <v>165</v>
      </c>
      <c r="G21" s="8" t="s">
        <v>159</v>
      </c>
      <c r="H21" s="8" t="s">
        <v>166</v>
      </c>
      <c r="I21" s="8" t="s">
        <v>23</v>
      </c>
    </row>
    <row r="22" customFormat="false" ht="15" hidden="false" customHeight="false" outlineLevel="0" collapsed="false">
      <c r="A22" s="8" t="s">
        <v>167</v>
      </c>
      <c r="B22" s="8" t="s">
        <v>11</v>
      </c>
      <c r="C22" s="8" t="s">
        <v>168</v>
      </c>
      <c r="D22" s="8" t="s">
        <v>169</v>
      </c>
      <c r="E22" s="10" t="s">
        <v>170</v>
      </c>
      <c r="F22" s="8" t="s">
        <v>171</v>
      </c>
      <c r="G22" s="8" t="s">
        <v>159</v>
      </c>
      <c r="H22" s="8" t="s">
        <v>172</v>
      </c>
      <c r="I22" s="8" t="s">
        <v>22</v>
      </c>
    </row>
    <row r="23" customFormat="false" ht="15" hidden="false" customHeight="false" outlineLevel="0" collapsed="false">
      <c r="A23" s="8" t="s">
        <v>173</v>
      </c>
      <c r="B23" s="8" t="s">
        <v>11</v>
      </c>
      <c r="C23" s="8" t="s">
        <v>174</v>
      </c>
      <c r="D23" s="8" t="s">
        <v>175</v>
      </c>
      <c r="E23" s="10" t="s">
        <v>176</v>
      </c>
      <c r="F23" s="8" t="s">
        <v>177</v>
      </c>
      <c r="G23" s="8" t="s">
        <v>159</v>
      </c>
      <c r="H23" s="8" t="s">
        <v>178</v>
      </c>
      <c r="I23" s="8" t="s">
        <v>23</v>
      </c>
    </row>
    <row r="24" customFormat="false" ht="15" hidden="false" customHeight="false" outlineLevel="0" collapsed="false">
      <c r="A24" s="8" t="s">
        <v>179</v>
      </c>
      <c r="B24" s="8" t="s">
        <v>15</v>
      </c>
      <c r="C24" s="8" t="s">
        <v>180</v>
      </c>
      <c r="D24" s="8" t="s">
        <v>181</v>
      </c>
      <c r="E24" s="10" t="s">
        <v>182</v>
      </c>
      <c r="F24" s="8" t="s">
        <v>183</v>
      </c>
      <c r="G24" s="8" t="s">
        <v>71</v>
      </c>
      <c r="H24" s="8" t="s">
        <v>184</v>
      </c>
      <c r="I24" s="8" t="s">
        <v>22</v>
      </c>
    </row>
    <row r="25" customFormat="false" ht="15" hidden="false" customHeight="false" outlineLevel="0" collapsed="false">
      <c r="A25" s="8" t="s">
        <v>185</v>
      </c>
      <c r="B25" s="8" t="s">
        <v>15</v>
      </c>
      <c r="C25" s="8" t="s">
        <v>186</v>
      </c>
      <c r="D25" s="8" t="s">
        <v>187</v>
      </c>
      <c r="E25" s="10" t="s">
        <v>188</v>
      </c>
      <c r="F25" s="8" t="s">
        <v>189</v>
      </c>
      <c r="G25" s="8" t="s">
        <v>71</v>
      </c>
      <c r="H25" s="8" t="s">
        <v>190</v>
      </c>
      <c r="I25" s="8" t="s">
        <v>22</v>
      </c>
    </row>
    <row r="26" customFormat="false" ht="15" hidden="false" customHeight="false" outlineLevel="0" collapsed="false">
      <c r="A26" s="8" t="s">
        <v>191</v>
      </c>
      <c r="B26" s="8" t="s">
        <v>15</v>
      </c>
      <c r="C26" s="8" t="s">
        <v>192</v>
      </c>
      <c r="D26" s="8" t="s">
        <v>193</v>
      </c>
      <c r="E26" s="10" t="s">
        <v>194</v>
      </c>
      <c r="F26" s="8" t="s">
        <v>195</v>
      </c>
      <c r="G26" s="8" t="s">
        <v>159</v>
      </c>
      <c r="H26" s="8" t="s">
        <v>196</v>
      </c>
      <c r="I26" s="8" t="s">
        <v>23</v>
      </c>
    </row>
    <row r="27" customFormat="false" ht="15" hidden="false" customHeight="false" outlineLevel="0" collapsed="false">
      <c r="A27" s="8" t="s">
        <v>197</v>
      </c>
      <c r="B27" s="8" t="s">
        <v>15</v>
      </c>
      <c r="C27" s="8" t="s">
        <v>198</v>
      </c>
      <c r="D27" s="8" t="s">
        <v>199</v>
      </c>
      <c r="E27" s="10" t="s">
        <v>200</v>
      </c>
      <c r="F27" s="8" t="s">
        <v>201</v>
      </c>
      <c r="G27" s="8" t="s">
        <v>71</v>
      </c>
      <c r="H27" s="8" t="s">
        <v>202</v>
      </c>
      <c r="I27" s="8" t="s">
        <v>23</v>
      </c>
    </row>
    <row r="28" customFormat="false" ht="15" hidden="false" customHeight="false" outlineLevel="0" collapsed="false">
      <c r="A28" s="8" t="s">
        <v>203</v>
      </c>
      <c r="B28" s="8" t="s">
        <v>18</v>
      </c>
      <c r="C28" s="8" t="s">
        <v>204</v>
      </c>
      <c r="D28" s="8" t="s">
        <v>205</v>
      </c>
      <c r="E28" s="10" t="s">
        <v>206</v>
      </c>
      <c r="F28" s="8" t="s">
        <v>207</v>
      </c>
      <c r="G28" s="8" t="s">
        <v>208</v>
      </c>
      <c r="H28" s="8" t="s">
        <v>209</v>
      </c>
      <c r="I28" s="8" t="s">
        <v>23</v>
      </c>
    </row>
    <row r="29" customFormat="false" ht="15" hidden="false" customHeight="false" outlineLevel="0" collapsed="false">
      <c r="A29" s="8" t="s">
        <v>210</v>
      </c>
      <c r="B29" s="8" t="s">
        <v>18</v>
      </c>
      <c r="C29" s="8" t="s">
        <v>211</v>
      </c>
      <c r="D29" s="8" t="s">
        <v>212</v>
      </c>
      <c r="E29" s="10" t="s">
        <v>213</v>
      </c>
      <c r="F29" s="8" t="s">
        <v>214</v>
      </c>
      <c r="G29" s="8" t="s">
        <v>47</v>
      </c>
      <c r="H29" s="8" t="s">
        <v>215</v>
      </c>
      <c r="I29" s="8" t="s">
        <v>23</v>
      </c>
    </row>
    <row r="30" customFormat="false" ht="15" hidden="false" customHeight="false" outlineLevel="0" collapsed="false">
      <c r="A30" s="8" t="s">
        <v>216</v>
      </c>
      <c r="B30" s="8" t="s">
        <v>18</v>
      </c>
      <c r="C30" s="8" t="s">
        <v>217</v>
      </c>
      <c r="D30" s="8" t="s">
        <v>218</v>
      </c>
      <c r="E30" s="10" t="s">
        <v>219</v>
      </c>
      <c r="F30" s="8" t="s">
        <v>220</v>
      </c>
      <c r="G30" s="8" t="s">
        <v>47</v>
      </c>
      <c r="H30" s="8" t="s">
        <v>221</v>
      </c>
      <c r="I30" s="8" t="s">
        <v>22</v>
      </c>
    </row>
    <row r="31" customFormat="false" ht="15" hidden="false" customHeight="false" outlineLevel="0" collapsed="false">
      <c r="A31" s="8" t="s">
        <v>222</v>
      </c>
      <c r="B31" s="8" t="s">
        <v>18</v>
      </c>
      <c r="C31" s="8" t="s">
        <v>223</v>
      </c>
      <c r="D31" s="8" t="s">
        <v>224</v>
      </c>
      <c r="E31" s="10" t="s">
        <v>225</v>
      </c>
      <c r="F31" s="8" t="s">
        <v>226</v>
      </c>
      <c r="G31" s="8" t="s">
        <v>227</v>
      </c>
      <c r="H31" s="8" t="s">
        <v>228</v>
      </c>
      <c r="I31" s="8"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0"/>
    <col collapsed="false" customWidth="true" hidden="false" outlineLevel="0" max="4" min="3" style="0" width="12"/>
    <col collapsed="false" customWidth="true" hidden="false" outlineLevel="0" max="7" min="5" style="0" width="60"/>
    <col collapsed="false" customWidth="true" hidden="false" outlineLevel="0" max="8" min="8" style="0" width="14"/>
  </cols>
  <sheetData>
    <row r="1" customFormat="false" ht="15" hidden="false" customHeight="false" outlineLevel="0" collapsed="false">
      <c r="A1" s="7" t="s">
        <v>33</v>
      </c>
      <c r="B1" s="7" t="s">
        <v>229</v>
      </c>
      <c r="C1" s="7" t="s">
        <v>39</v>
      </c>
      <c r="D1" s="7" t="s">
        <v>230</v>
      </c>
      <c r="E1" s="7" t="s">
        <v>231</v>
      </c>
      <c r="F1" s="7" t="s">
        <v>232</v>
      </c>
      <c r="G1" s="7" t="s">
        <v>233</v>
      </c>
      <c r="H1" s="7" t="s">
        <v>234</v>
      </c>
    </row>
    <row r="2" customFormat="false" ht="15" hidden="false" customHeight="false" outlineLevel="0" collapsed="false">
      <c r="A2" s="8" t="s">
        <v>42</v>
      </c>
      <c r="B2" s="8" t="s">
        <v>235</v>
      </c>
      <c r="C2" s="8" t="s">
        <v>47</v>
      </c>
      <c r="D2" s="8" t="s">
        <v>22</v>
      </c>
      <c r="E2" s="8" t="s">
        <v>236</v>
      </c>
      <c r="F2" s="8" t="s">
        <v>237</v>
      </c>
      <c r="G2" s="8" t="s">
        <v>238</v>
      </c>
      <c r="H2" s="8" t="s">
        <v>239</v>
      </c>
    </row>
    <row r="3" customFormat="false" ht="15" hidden="false" customHeight="false" outlineLevel="0" collapsed="false">
      <c r="A3" s="8" t="s">
        <v>49</v>
      </c>
      <c r="B3" s="8" t="s">
        <v>240</v>
      </c>
      <c r="C3" s="8" t="s">
        <v>47</v>
      </c>
      <c r="D3" s="8" t="s">
        <v>22</v>
      </c>
      <c r="E3" s="8" t="s">
        <v>241</v>
      </c>
      <c r="F3" s="8" t="s">
        <v>242</v>
      </c>
      <c r="G3" s="8" t="s">
        <v>243</v>
      </c>
      <c r="H3" s="8" t="s">
        <v>239</v>
      </c>
    </row>
    <row r="4" customFormat="false" ht="15" hidden="false" customHeight="false" outlineLevel="0" collapsed="false">
      <c r="A4" s="8" t="s">
        <v>55</v>
      </c>
      <c r="B4" s="8" t="s">
        <v>244</v>
      </c>
      <c r="C4" s="8" t="s">
        <v>47</v>
      </c>
      <c r="D4" s="8" t="s">
        <v>22</v>
      </c>
      <c r="E4" s="8" t="s">
        <v>245</v>
      </c>
      <c r="F4" s="8" t="s">
        <v>246</v>
      </c>
      <c r="G4" s="8" t="s">
        <v>247</v>
      </c>
      <c r="H4" s="8" t="s">
        <v>239</v>
      </c>
    </row>
    <row r="5" customFormat="false" ht="15" hidden="false" customHeight="false" outlineLevel="0" collapsed="false">
      <c r="A5" s="8" t="s">
        <v>60</v>
      </c>
      <c r="B5" s="8" t="s">
        <v>248</v>
      </c>
      <c r="C5" s="8" t="s">
        <v>47</v>
      </c>
      <c r="D5" s="8" t="s">
        <v>22</v>
      </c>
      <c r="E5" s="8" t="s">
        <v>249</v>
      </c>
      <c r="F5" s="8" t="s">
        <v>250</v>
      </c>
      <c r="G5" s="8" t="s">
        <v>251</v>
      </c>
      <c r="H5" s="8" t="s">
        <v>239</v>
      </c>
    </row>
    <row r="6" customFormat="false" ht="15" hidden="false" customHeight="false" outlineLevel="0" collapsed="false">
      <c r="A6" s="8" t="s">
        <v>66</v>
      </c>
      <c r="B6" s="8" t="s">
        <v>252</v>
      </c>
      <c r="C6" s="8" t="s">
        <v>71</v>
      </c>
      <c r="D6" s="8" t="s">
        <v>22</v>
      </c>
      <c r="E6" s="8" t="s">
        <v>253</v>
      </c>
      <c r="F6" s="8" t="s">
        <v>254</v>
      </c>
      <c r="G6" s="8" t="s">
        <v>255</v>
      </c>
      <c r="H6" s="8" t="s">
        <v>239</v>
      </c>
    </row>
    <row r="7" customFormat="false" ht="15" hidden="false" customHeight="false" outlineLevel="0" collapsed="false">
      <c r="A7" s="8" t="s">
        <v>73</v>
      </c>
      <c r="B7" s="8" t="s">
        <v>256</v>
      </c>
      <c r="C7" s="8" t="s">
        <v>71</v>
      </c>
      <c r="D7" s="8" t="s">
        <v>22</v>
      </c>
      <c r="E7" s="8" t="s">
        <v>257</v>
      </c>
      <c r="F7" s="8" t="s">
        <v>258</v>
      </c>
      <c r="G7" s="8" t="s">
        <v>259</v>
      </c>
      <c r="H7" s="8" t="s">
        <v>239</v>
      </c>
    </row>
    <row r="8" customFormat="false" ht="15" hidden="false" customHeight="false" outlineLevel="0" collapsed="false">
      <c r="A8" s="8" t="s">
        <v>79</v>
      </c>
      <c r="B8" s="8" t="s">
        <v>260</v>
      </c>
      <c r="C8" s="8" t="s">
        <v>71</v>
      </c>
      <c r="D8" s="8" t="s">
        <v>22</v>
      </c>
      <c r="E8" s="8" t="s">
        <v>261</v>
      </c>
      <c r="F8" s="8" t="s">
        <v>262</v>
      </c>
      <c r="G8" s="8" t="s">
        <v>263</v>
      </c>
      <c r="H8" s="8" t="s">
        <v>239</v>
      </c>
    </row>
    <row r="9" customFormat="false" ht="15" hidden="false" customHeight="false" outlineLevel="0" collapsed="false">
      <c r="A9" s="8" t="s">
        <v>85</v>
      </c>
      <c r="B9" s="8" t="s">
        <v>264</v>
      </c>
      <c r="C9" s="8" t="s">
        <v>265</v>
      </c>
      <c r="D9" s="8" t="s">
        <v>22</v>
      </c>
      <c r="E9" s="8" t="s">
        <v>266</v>
      </c>
      <c r="F9" s="8" t="s">
        <v>267</v>
      </c>
      <c r="G9" s="8" t="s">
        <v>268</v>
      </c>
      <c r="H9" s="8" t="s">
        <v>239</v>
      </c>
    </row>
    <row r="10" customFormat="false" ht="15" hidden="false" customHeight="false" outlineLevel="0" collapsed="false">
      <c r="A10" s="8" t="s">
        <v>92</v>
      </c>
      <c r="B10" s="8" t="s">
        <v>269</v>
      </c>
      <c r="C10" s="8" t="s">
        <v>71</v>
      </c>
      <c r="D10" s="8" t="s">
        <v>22</v>
      </c>
      <c r="E10" s="8" t="s">
        <v>270</v>
      </c>
      <c r="F10" s="8" t="s">
        <v>271</v>
      </c>
      <c r="G10" s="8" t="s">
        <v>272</v>
      </c>
      <c r="H10" s="8" t="s">
        <v>239</v>
      </c>
    </row>
    <row r="11" customFormat="false" ht="15" hidden="false" customHeight="false" outlineLevel="0" collapsed="false">
      <c r="A11" s="8" t="s">
        <v>98</v>
      </c>
      <c r="B11" s="8" t="s">
        <v>273</v>
      </c>
      <c r="C11" s="8" t="s">
        <v>71</v>
      </c>
      <c r="D11" s="8" t="s">
        <v>22</v>
      </c>
      <c r="E11" s="8" t="s">
        <v>274</v>
      </c>
      <c r="F11" s="8" t="s">
        <v>275</v>
      </c>
      <c r="G11" s="8" t="s">
        <v>276</v>
      </c>
      <c r="H11" s="8" t="s">
        <v>239</v>
      </c>
    </row>
    <row r="12" customFormat="false" ht="15" hidden="false" customHeight="false" outlineLevel="0" collapsed="false">
      <c r="A12" s="8" t="s">
        <v>104</v>
      </c>
      <c r="B12" s="8" t="s">
        <v>277</v>
      </c>
      <c r="C12" s="8" t="s">
        <v>265</v>
      </c>
      <c r="D12" s="8" t="s">
        <v>22</v>
      </c>
      <c r="E12" s="8" t="s">
        <v>278</v>
      </c>
      <c r="F12" s="8" t="s">
        <v>279</v>
      </c>
      <c r="G12" s="8" t="s">
        <v>280</v>
      </c>
      <c r="H12" s="8" t="s">
        <v>239</v>
      </c>
    </row>
    <row r="13" customFormat="false" ht="15" hidden="false" customHeight="false" outlineLevel="0" collapsed="false">
      <c r="A13" s="8" t="s">
        <v>111</v>
      </c>
      <c r="B13" s="8" t="s">
        <v>281</v>
      </c>
      <c r="C13" s="8" t="s">
        <v>159</v>
      </c>
      <c r="D13" s="8" t="s">
        <v>22</v>
      </c>
      <c r="E13" s="8" t="s">
        <v>282</v>
      </c>
      <c r="F13" s="8" t="s">
        <v>283</v>
      </c>
      <c r="G13" s="8" t="s">
        <v>284</v>
      </c>
      <c r="H13" s="8" t="s">
        <v>239</v>
      </c>
    </row>
    <row r="14" customFormat="false" ht="15" hidden="false" customHeight="false" outlineLevel="0" collapsed="false">
      <c r="A14" s="8" t="s">
        <v>118</v>
      </c>
      <c r="B14" s="8" t="s">
        <v>285</v>
      </c>
      <c r="C14" s="8" t="s">
        <v>265</v>
      </c>
      <c r="D14" s="8" t="s">
        <v>22</v>
      </c>
      <c r="E14" s="8" t="s">
        <v>286</v>
      </c>
      <c r="F14" s="8" t="s">
        <v>287</v>
      </c>
      <c r="G14" s="8" t="s">
        <v>288</v>
      </c>
      <c r="H14" s="8" t="s">
        <v>239</v>
      </c>
    </row>
    <row r="15" customFormat="false" ht="15" hidden="false" customHeight="false" outlineLevel="0" collapsed="false">
      <c r="A15" s="8" t="s">
        <v>124</v>
      </c>
      <c r="B15" s="8" t="s">
        <v>289</v>
      </c>
      <c r="C15" s="8" t="s">
        <v>71</v>
      </c>
      <c r="D15" s="8" t="s">
        <v>22</v>
      </c>
      <c r="E15" s="8" t="s">
        <v>290</v>
      </c>
      <c r="F15" s="8" t="s">
        <v>291</v>
      </c>
      <c r="G15" s="8" t="s">
        <v>292</v>
      </c>
      <c r="H15" s="8" t="s">
        <v>239</v>
      </c>
    </row>
    <row r="16" customFormat="false" ht="15" hidden="false" customHeight="false" outlineLevel="0" collapsed="false">
      <c r="A16" s="8" t="s">
        <v>130</v>
      </c>
      <c r="B16" s="8" t="s">
        <v>293</v>
      </c>
      <c r="C16" s="8" t="s">
        <v>71</v>
      </c>
      <c r="D16" s="8" t="s">
        <v>22</v>
      </c>
      <c r="E16" s="8" t="s">
        <v>294</v>
      </c>
      <c r="F16" s="8" t="s">
        <v>295</v>
      </c>
      <c r="G16" s="8" t="s">
        <v>296</v>
      </c>
      <c r="H16" s="8" t="s">
        <v>239</v>
      </c>
    </row>
    <row r="17" customFormat="false" ht="15" hidden="false" customHeight="false" outlineLevel="0" collapsed="false">
      <c r="A17" s="8" t="s">
        <v>136</v>
      </c>
      <c r="B17" s="8" t="s">
        <v>297</v>
      </c>
      <c r="C17" s="8" t="s">
        <v>71</v>
      </c>
      <c r="D17" s="8" t="s">
        <v>22</v>
      </c>
      <c r="E17" s="8" t="s">
        <v>298</v>
      </c>
      <c r="F17" s="8" t="s">
        <v>299</v>
      </c>
      <c r="G17" s="8" t="s">
        <v>300</v>
      </c>
      <c r="H17" s="8" t="s">
        <v>239</v>
      </c>
    </row>
    <row r="18" customFormat="false" ht="15" hidden="false" customHeight="false" outlineLevel="0" collapsed="false">
      <c r="A18" s="8" t="s">
        <v>142</v>
      </c>
      <c r="B18" s="8" t="s">
        <v>301</v>
      </c>
      <c r="C18" s="8" t="s">
        <v>71</v>
      </c>
      <c r="D18" s="8" t="s">
        <v>22</v>
      </c>
      <c r="E18" s="8" t="s">
        <v>302</v>
      </c>
      <c r="F18" s="8" t="s">
        <v>303</v>
      </c>
      <c r="G18" s="8" t="s">
        <v>304</v>
      </c>
      <c r="H18" s="8" t="s">
        <v>239</v>
      </c>
    </row>
    <row r="19" customFormat="false" ht="15" hidden="false" customHeight="false" outlineLevel="0" collapsed="false">
      <c r="A19" s="8" t="s">
        <v>148</v>
      </c>
      <c r="B19" s="8" t="s">
        <v>305</v>
      </c>
      <c r="C19" s="8" t="s">
        <v>71</v>
      </c>
      <c r="D19" s="8" t="s">
        <v>23</v>
      </c>
      <c r="E19" s="8" t="s">
        <v>306</v>
      </c>
      <c r="F19" s="8" t="s">
        <v>307</v>
      </c>
      <c r="G19" s="8" t="s">
        <v>308</v>
      </c>
      <c r="H19" s="8" t="s">
        <v>239</v>
      </c>
    </row>
    <row r="20" customFormat="false" ht="15" hidden="false" customHeight="false" outlineLevel="0" collapsed="false">
      <c r="A20" s="8" t="s">
        <v>154</v>
      </c>
      <c r="B20" s="8" t="s">
        <v>309</v>
      </c>
      <c r="C20" s="8" t="s">
        <v>159</v>
      </c>
      <c r="D20" s="8" t="s">
        <v>22</v>
      </c>
      <c r="E20" s="8" t="s">
        <v>310</v>
      </c>
      <c r="F20" s="8" t="s">
        <v>311</v>
      </c>
      <c r="G20" s="8" t="s">
        <v>312</v>
      </c>
      <c r="H20" s="8" t="s">
        <v>239</v>
      </c>
    </row>
    <row r="21" customFormat="false" ht="15" hidden="false" customHeight="false" outlineLevel="0" collapsed="false">
      <c r="A21" s="8" t="s">
        <v>161</v>
      </c>
      <c r="B21" s="8" t="s">
        <v>313</v>
      </c>
      <c r="C21" s="8" t="s">
        <v>159</v>
      </c>
      <c r="D21" s="8" t="s">
        <v>22</v>
      </c>
      <c r="E21" s="8" t="s">
        <v>314</v>
      </c>
      <c r="F21" s="8" t="s">
        <v>315</v>
      </c>
      <c r="G21" s="8" t="s">
        <v>316</v>
      </c>
      <c r="H21" s="8" t="s">
        <v>239</v>
      </c>
    </row>
    <row r="22" customFormat="false" ht="15" hidden="false" customHeight="false" outlineLevel="0" collapsed="false">
      <c r="A22" s="8" t="s">
        <v>167</v>
      </c>
      <c r="B22" s="8" t="s">
        <v>317</v>
      </c>
      <c r="C22" s="8" t="s">
        <v>159</v>
      </c>
      <c r="D22" s="8" t="s">
        <v>22</v>
      </c>
      <c r="E22" s="8" t="s">
        <v>318</v>
      </c>
      <c r="F22" s="8" t="s">
        <v>319</v>
      </c>
      <c r="G22" s="8" t="s">
        <v>320</v>
      </c>
      <c r="H22" s="8" t="s">
        <v>239</v>
      </c>
    </row>
    <row r="23" customFormat="false" ht="15" hidden="false" customHeight="false" outlineLevel="0" collapsed="false">
      <c r="A23" s="8" t="s">
        <v>173</v>
      </c>
      <c r="B23" s="8" t="s">
        <v>321</v>
      </c>
      <c r="C23" s="8" t="s">
        <v>159</v>
      </c>
      <c r="D23" s="8" t="s">
        <v>22</v>
      </c>
      <c r="E23" s="8" t="s">
        <v>322</v>
      </c>
      <c r="F23" s="8" t="s">
        <v>323</v>
      </c>
      <c r="G23" s="8" t="s">
        <v>324</v>
      </c>
      <c r="H23" s="8" t="s">
        <v>239</v>
      </c>
    </row>
    <row r="24" customFormat="false" ht="15" hidden="false" customHeight="false" outlineLevel="0" collapsed="false">
      <c r="A24" s="8" t="s">
        <v>179</v>
      </c>
      <c r="B24" s="8" t="s">
        <v>325</v>
      </c>
      <c r="C24" s="8" t="s">
        <v>71</v>
      </c>
      <c r="D24" s="8" t="s">
        <v>22</v>
      </c>
      <c r="E24" s="8" t="s">
        <v>326</v>
      </c>
      <c r="F24" s="8" t="s">
        <v>327</v>
      </c>
      <c r="G24" s="8" t="s">
        <v>328</v>
      </c>
      <c r="H24" s="8" t="s">
        <v>239</v>
      </c>
    </row>
    <row r="25" customFormat="false" ht="15" hidden="false" customHeight="false" outlineLevel="0" collapsed="false">
      <c r="A25" s="8" t="s">
        <v>185</v>
      </c>
      <c r="B25" s="8" t="s">
        <v>329</v>
      </c>
      <c r="C25" s="8" t="s">
        <v>71</v>
      </c>
      <c r="D25" s="8" t="s">
        <v>22</v>
      </c>
      <c r="E25" s="8" t="s">
        <v>330</v>
      </c>
      <c r="F25" s="8" t="s">
        <v>327</v>
      </c>
      <c r="G25" s="8" t="s">
        <v>331</v>
      </c>
      <c r="H25" s="8" t="s">
        <v>239</v>
      </c>
    </row>
    <row r="26" customFormat="false" ht="15" hidden="false" customHeight="false" outlineLevel="0" collapsed="false">
      <c r="A26" s="8" t="s">
        <v>191</v>
      </c>
      <c r="B26" s="8" t="s">
        <v>332</v>
      </c>
      <c r="C26" s="8" t="s">
        <v>159</v>
      </c>
      <c r="D26" s="8" t="s">
        <v>22</v>
      </c>
      <c r="E26" s="8" t="s">
        <v>333</v>
      </c>
      <c r="F26" s="8" t="s">
        <v>334</v>
      </c>
      <c r="G26" s="8" t="s">
        <v>335</v>
      </c>
      <c r="H26" s="8" t="s">
        <v>239</v>
      </c>
    </row>
    <row r="27" customFormat="false" ht="15" hidden="false" customHeight="false" outlineLevel="0" collapsed="false">
      <c r="A27" s="8" t="s">
        <v>197</v>
      </c>
      <c r="B27" s="8" t="s">
        <v>336</v>
      </c>
      <c r="C27" s="8" t="s">
        <v>71</v>
      </c>
      <c r="D27" s="8" t="s">
        <v>22</v>
      </c>
      <c r="E27" s="8" t="s">
        <v>337</v>
      </c>
      <c r="F27" s="8" t="s">
        <v>338</v>
      </c>
      <c r="G27" s="8" t="s">
        <v>339</v>
      </c>
      <c r="H27" s="8" t="s">
        <v>239</v>
      </c>
    </row>
    <row r="28" customFormat="false" ht="15" hidden="false" customHeight="false" outlineLevel="0" collapsed="false">
      <c r="A28" s="8" t="s">
        <v>203</v>
      </c>
      <c r="B28" s="8" t="s">
        <v>340</v>
      </c>
      <c r="C28" s="8" t="s">
        <v>47</v>
      </c>
      <c r="D28" s="8" t="s">
        <v>22</v>
      </c>
      <c r="E28" s="8" t="s">
        <v>341</v>
      </c>
      <c r="F28" s="8" t="s">
        <v>342</v>
      </c>
      <c r="G28" s="8" t="s">
        <v>343</v>
      </c>
      <c r="H28" s="8" t="s">
        <v>239</v>
      </c>
    </row>
    <row r="29" customFormat="false" ht="15" hidden="false" customHeight="false" outlineLevel="0" collapsed="false">
      <c r="A29" s="8" t="s">
        <v>210</v>
      </c>
      <c r="B29" s="8" t="s">
        <v>344</v>
      </c>
      <c r="C29" s="8" t="s">
        <v>47</v>
      </c>
      <c r="D29" s="8" t="s">
        <v>22</v>
      </c>
      <c r="E29" s="8" t="s">
        <v>345</v>
      </c>
      <c r="F29" s="8" t="s">
        <v>346</v>
      </c>
      <c r="G29" s="8" t="s">
        <v>347</v>
      </c>
      <c r="H29" s="8" t="s">
        <v>239</v>
      </c>
    </row>
    <row r="30" customFormat="false" ht="15" hidden="false" customHeight="false" outlineLevel="0" collapsed="false">
      <c r="A30" s="8" t="s">
        <v>216</v>
      </c>
      <c r="B30" s="8" t="s">
        <v>348</v>
      </c>
      <c r="C30" s="8" t="s">
        <v>47</v>
      </c>
      <c r="D30" s="8" t="s">
        <v>22</v>
      </c>
      <c r="E30" s="8" t="s">
        <v>349</v>
      </c>
      <c r="F30" s="8" t="s">
        <v>350</v>
      </c>
      <c r="G30" s="8" t="s">
        <v>351</v>
      </c>
      <c r="H30" s="8" t="s">
        <v>239</v>
      </c>
    </row>
    <row r="31" customFormat="false" ht="15" hidden="false" customHeight="false" outlineLevel="0" collapsed="false">
      <c r="A31" s="8" t="s">
        <v>222</v>
      </c>
      <c r="B31" s="8" t="s">
        <v>352</v>
      </c>
      <c r="C31" s="8" t="s">
        <v>227</v>
      </c>
      <c r="D31" s="8" t="s">
        <v>23</v>
      </c>
      <c r="E31" s="8" t="s">
        <v>353</v>
      </c>
      <c r="F31" s="8" t="s">
        <v>354</v>
      </c>
      <c r="G31" s="8" t="s">
        <v>355</v>
      </c>
      <c r="H31" s="8" t="s">
        <v>239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60"/>
    <col collapsed="false" customWidth="true" hidden="false" outlineLevel="0" max="4" min="4" style="0" width="15"/>
    <col collapsed="false" customWidth="true" hidden="false" outlineLevel="0" max="5" min="5" style="0" width="60"/>
    <col collapsed="false" customWidth="true" hidden="false" outlineLevel="0" max="6" min="6" style="0" width="12"/>
    <col collapsed="false" customWidth="true" hidden="false" outlineLevel="0" max="7" min="7" style="0" width="60"/>
  </cols>
  <sheetData>
    <row r="1" customFormat="false" ht="15" hidden="false" customHeight="false" outlineLevel="0" collapsed="false">
      <c r="A1" s="7" t="s">
        <v>33</v>
      </c>
      <c r="B1" s="7" t="s">
        <v>34</v>
      </c>
      <c r="C1" s="7" t="s">
        <v>356</v>
      </c>
      <c r="D1" s="7" t="s">
        <v>357</v>
      </c>
      <c r="E1" s="7" t="s">
        <v>38</v>
      </c>
      <c r="F1" s="7" t="s">
        <v>358</v>
      </c>
      <c r="G1" s="7" t="s">
        <v>359</v>
      </c>
    </row>
    <row r="2" customFormat="false" ht="15" hidden="false" customHeight="false" outlineLevel="0" collapsed="false">
      <c r="A2" s="8" t="s">
        <v>42</v>
      </c>
      <c r="B2" s="8" t="s">
        <v>17</v>
      </c>
      <c r="C2" s="8" t="s">
        <v>235</v>
      </c>
      <c r="D2" s="8" t="s">
        <v>22</v>
      </c>
      <c r="E2" s="8" t="s">
        <v>46</v>
      </c>
      <c r="F2" s="8" t="s">
        <v>27</v>
      </c>
      <c r="G2" s="8" t="s">
        <v>360</v>
      </c>
    </row>
    <row r="3" customFormat="false" ht="15" hidden="false" customHeight="false" outlineLevel="0" collapsed="false">
      <c r="A3" s="8" t="s">
        <v>49</v>
      </c>
      <c r="B3" s="8" t="s">
        <v>17</v>
      </c>
      <c r="C3" s="8" t="s">
        <v>240</v>
      </c>
      <c r="D3" s="8" t="s">
        <v>22</v>
      </c>
      <c r="E3" s="8" t="s">
        <v>53</v>
      </c>
      <c r="F3" s="8" t="s">
        <v>27</v>
      </c>
      <c r="G3" s="8" t="s">
        <v>360</v>
      </c>
    </row>
    <row r="4" customFormat="false" ht="15" hidden="false" customHeight="false" outlineLevel="0" collapsed="false">
      <c r="A4" s="8" t="s">
        <v>55</v>
      </c>
      <c r="B4" s="8" t="s">
        <v>17</v>
      </c>
      <c r="C4" s="8" t="s">
        <v>244</v>
      </c>
      <c r="D4" s="8" t="s">
        <v>22</v>
      </c>
      <c r="E4" s="8" t="s">
        <v>59</v>
      </c>
      <c r="F4" s="8" t="s">
        <v>27</v>
      </c>
      <c r="G4" s="8" t="s">
        <v>360</v>
      </c>
    </row>
    <row r="5" customFormat="false" ht="15" hidden="false" customHeight="false" outlineLevel="0" collapsed="false">
      <c r="A5" s="8" t="s">
        <v>60</v>
      </c>
      <c r="B5" s="8" t="s">
        <v>17</v>
      </c>
      <c r="C5" s="8" t="s">
        <v>248</v>
      </c>
      <c r="D5" s="8" t="s">
        <v>22</v>
      </c>
      <c r="E5" s="8" t="s">
        <v>64</v>
      </c>
      <c r="F5" s="8" t="s">
        <v>27</v>
      </c>
      <c r="G5" s="8" t="s">
        <v>360</v>
      </c>
    </row>
    <row r="6" customFormat="false" ht="15" hidden="false" customHeight="false" outlineLevel="0" collapsed="false">
      <c r="A6" s="8" t="s">
        <v>66</v>
      </c>
      <c r="B6" s="8" t="s">
        <v>14</v>
      </c>
      <c r="C6" s="8" t="s">
        <v>252</v>
      </c>
      <c r="D6" s="8" t="s">
        <v>22</v>
      </c>
      <c r="E6" s="8" t="s">
        <v>70</v>
      </c>
      <c r="F6" s="8" t="s">
        <v>27</v>
      </c>
      <c r="G6" s="8" t="s">
        <v>360</v>
      </c>
    </row>
    <row r="7" customFormat="false" ht="15" hidden="false" customHeight="false" outlineLevel="0" collapsed="false">
      <c r="A7" s="8" t="s">
        <v>73</v>
      </c>
      <c r="B7" s="8" t="s">
        <v>14</v>
      </c>
      <c r="C7" s="8" t="s">
        <v>256</v>
      </c>
      <c r="D7" s="8" t="s">
        <v>22</v>
      </c>
      <c r="E7" s="8" t="s">
        <v>77</v>
      </c>
      <c r="F7" s="8" t="s">
        <v>28</v>
      </c>
      <c r="G7" s="8" t="s">
        <v>361</v>
      </c>
    </row>
    <row r="8" customFormat="false" ht="15" hidden="false" customHeight="false" outlineLevel="0" collapsed="false">
      <c r="A8" s="8" t="s">
        <v>79</v>
      </c>
      <c r="B8" s="8" t="s">
        <v>14</v>
      </c>
      <c r="C8" s="8" t="s">
        <v>260</v>
      </c>
      <c r="D8" s="8" t="s">
        <v>22</v>
      </c>
      <c r="E8" s="8" t="s">
        <v>83</v>
      </c>
      <c r="F8" s="8" t="s">
        <v>27</v>
      </c>
      <c r="G8" s="8" t="s">
        <v>360</v>
      </c>
    </row>
    <row r="9" customFormat="false" ht="15" hidden="false" customHeight="false" outlineLevel="0" collapsed="false">
      <c r="A9" s="8" t="s">
        <v>85</v>
      </c>
      <c r="B9" s="8" t="s">
        <v>12</v>
      </c>
      <c r="C9" s="8" t="s">
        <v>264</v>
      </c>
      <c r="D9" s="8" t="s">
        <v>22</v>
      </c>
      <c r="E9" s="8" t="s">
        <v>89</v>
      </c>
      <c r="F9" s="8" t="s">
        <v>27</v>
      </c>
      <c r="G9" s="8" t="s">
        <v>360</v>
      </c>
    </row>
    <row r="10" customFormat="false" ht="15" hidden="false" customHeight="false" outlineLevel="0" collapsed="false">
      <c r="A10" s="8" t="s">
        <v>92</v>
      </c>
      <c r="B10" s="8" t="s">
        <v>12</v>
      </c>
      <c r="C10" s="8" t="s">
        <v>269</v>
      </c>
      <c r="D10" s="8" t="s">
        <v>22</v>
      </c>
      <c r="E10" s="8" t="s">
        <v>96</v>
      </c>
      <c r="F10" s="8" t="s">
        <v>27</v>
      </c>
      <c r="G10" s="8" t="s">
        <v>360</v>
      </c>
    </row>
    <row r="11" customFormat="false" ht="15" hidden="false" customHeight="false" outlineLevel="0" collapsed="false">
      <c r="A11" s="8" t="s">
        <v>98</v>
      </c>
      <c r="B11" s="8" t="s">
        <v>12</v>
      </c>
      <c r="C11" s="8" t="s">
        <v>273</v>
      </c>
      <c r="D11" s="8" t="s">
        <v>22</v>
      </c>
      <c r="E11" s="8" t="s">
        <v>102</v>
      </c>
      <c r="F11" s="8" t="s">
        <v>27</v>
      </c>
      <c r="G11" s="8" t="s">
        <v>360</v>
      </c>
    </row>
    <row r="12" customFormat="false" ht="15" hidden="false" customHeight="false" outlineLevel="0" collapsed="false">
      <c r="A12" s="8" t="s">
        <v>104</v>
      </c>
      <c r="B12" s="8" t="s">
        <v>13</v>
      </c>
      <c r="C12" s="8" t="s">
        <v>277</v>
      </c>
      <c r="D12" s="8" t="s">
        <v>22</v>
      </c>
      <c r="E12" s="8" t="s">
        <v>108</v>
      </c>
      <c r="F12" s="8" t="s">
        <v>28</v>
      </c>
      <c r="G12" s="8" t="s">
        <v>362</v>
      </c>
    </row>
    <row r="13" customFormat="false" ht="15" hidden="false" customHeight="false" outlineLevel="0" collapsed="false">
      <c r="A13" s="8" t="s">
        <v>111</v>
      </c>
      <c r="B13" s="8" t="s">
        <v>13</v>
      </c>
      <c r="C13" s="8" t="s">
        <v>281</v>
      </c>
      <c r="D13" s="8" t="s">
        <v>22</v>
      </c>
      <c r="E13" s="8" t="s">
        <v>115</v>
      </c>
      <c r="F13" s="8" t="s">
        <v>27</v>
      </c>
      <c r="G13" s="8" t="s">
        <v>360</v>
      </c>
    </row>
    <row r="14" customFormat="false" ht="15" hidden="false" customHeight="false" outlineLevel="0" collapsed="false">
      <c r="A14" s="8" t="s">
        <v>118</v>
      </c>
      <c r="B14" s="8" t="s">
        <v>13</v>
      </c>
      <c r="C14" s="8" t="s">
        <v>285</v>
      </c>
      <c r="D14" s="8" t="s">
        <v>22</v>
      </c>
      <c r="E14" s="8" t="s">
        <v>122</v>
      </c>
      <c r="F14" s="8" t="s">
        <v>27</v>
      </c>
      <c r="G14" s="8" t="s">
        <v>360</v>
      </c>
    </row>
    <row r="15" customFormat="false" ht="15" hidden="false" customHeight="false" outlineLevel="0" collapsed="false">
      <c r="A15" s="8" t="s">
        <v>124</v>
      </c>
      <c r="B15" s="8" t="s">
        <v>16</v>
      </c>
      <c r="C15" s="8" t="s">
        <v>289</v>
      </c>
      <c r="D15" s="8" t="s">
        <v>22</v>
      </c>
      <c r="E15" s="8" t="s">
        <v>128</v>
      </c>
      <c r="F15" s="8" t="s">
        <v>27</v>
      </c>
      <c r="G15" s="8" t="s">
        <v>360</v>
      </c>
    </row>
    <row r="16" customFormat="false" ht="15" hidden="false" customHeight="false" outlineLevel="0" collapsed="false">
      <c r="A16" s="8" t="s">
        <v>130</v>
      </c>
      <c r="B16" s="8" t="s">
        <v>16</v>
      </c>
      <c r="C16" s="8" t="s">
        <v>293</v>
      </c>
      <c r="D16" s="8" t="s">
        <v>22</v>
      </c>
      <c r="E16" s="8" t="s">
        <v>134</v>
      </c>
      <c r="F16" s="8" t="s">
        <v>27</v>
      </c>
      <c r="G16" s="8" t="s">
        <v>360</v>
      </c>
    </row>
    <row r="17" customFormat="false" ht="15" hidden="false" customHeight="false" outlineLevel="0" collapsed="false">
      <c r="A17" s="8" t="s">
        <v>136</v>
      </c>
      <c r="B17" s="8" t="s">
        <v>16</v>
      </c>
      <c r="C17" s="8" t="s">
        <v>297</v>
      </c>
      <c r="D17" s="8" t="s">
        <v>22</v>
      </c>
      <c r="E17" s="8" t="s">
        <v>140</v>
      </c>
      <c r="F17" s="8" t="s">
        <v>27</v>
      </c>
      <c r="G17" s="8" t="s">
        <v>360</v>
      </c>
    </row>
    <row r="18" customFormat="false" ht="15" hidden="false" customHeight="false" outlineLevel="0" collapsed="false">
      <c r="A18" s="8" t="s">
        <v>142</v>
      </c>
      <c r="B18" s="8" t="s">
        <v>16</v>
      </c>
      <c r="C18" s="8" t="s">
        <v>301</v>
      </c>
      <c r="D18" s="8" t="s">
        <v>22</v>
      </c>
      <c r="E18" s="8" t="s">
        <v>146</v>
      </c>
      <c r="F18" s="8" t="s">
        <v>27</v>
      </c>
      <c r="G18" s="8" t="s">
        <v>360</v>
      </c>
    </row>
    <row r="19" customFormat="false" ht="15" hidden="false" customHeight="false" outlineLevel="0" collapsed="false">
      <c r="A19" s="8" t="s">
        <v>148</v>
      </c>
      <c r="B19" s="8" t="s">
        <v>16</v>
      </c>
      <c r="C19" s="8" t="s">
        <v>305</v>
      </c>
      <c r="D19" s="8" t="s">
        <v>23</v>
      </c>
      <c r="E19" s="8" t="s">
        <v>152</v>
      </c>
      <c r="F19" s="8" t="s">
        <v>28</v>
      </c>
      <c r="G19" s="8" t="s">
        <v>363</v>
      </c>
    </row>
    <row r="20" customFormat="false" ht="15" hidden="false" customHeight="false" outlineLevel="0" collapsed="false">
      <c r="A20" s="8" t="s">
        <v>154</v>
      </c>
      <c r="B20" s="8" t="s">
        <v>11</v>
      </c>
      <c r="C20" s="8" t="s">
        <v>309</v>
      </c>
      <c r="D20" s="8" t="s">
        <v>22</v>
      </c>
      <c r="E20" s="8" t="s">
        <v>158</v>
      </c>
      <c r="F20" s="8" t="s">
        <v>27</v>
      </c>
      <c r="G20" s="8" t="s">
        <v>360</v>
      </c>
    </row>
    <row r="21" customFormat="false" ht="15" hidden="false" customHeight="false" outlineLevel="0" collapsed="false">
      <c r="A21" s="8" t="s">
        <v>161</v>
      </c>
      <c r="B21" s="8" t="s">
        <v>11</v>
      </c>
      <c r="C21" s="8" t="s">
        <v>313</v>
      </c>
      <c r="D21" s="8" t="s">
        <v>22</v>
      </c>
      <c r="E21" s="8" t="s">
        <v>165</v>
      </c>
      <c r="F21" s="8" t="s">
        <v>28</v>
      </c>
      <c r="G21" s="8" t="s">
        <v>364</v>
      </c>
    </row>
    <row r="22" customFormat="false" ht="15" hidden="false" customHeight="false" outlineLevel="0" collapsed="false">
      <c r="A22" s="8" t="s">
        <v>167</v>
      </c>
      <c r="B22" s="8" t="s">
        <v>11</v>
      </c>
      <c r="C22" s="8" t="s">
        <v>317</v>
      </c>
      <c r="D22" s="8" t="s">
        <v>22</v>
      </c>
      <c r="E22" s="8" t="s">
        <v>171</v>
      </c>
      <c r="F22" s="8" t="s">
        <v>27</v>
      </c>
      <c r="G22" s="8" t="s">
        <v>360</v>
      </c>
    </row>
    <row r="23" customFormat="false" ht="15" hidden="false" customHeight="false" outlineLevel="0" collapsed="false">
      <c r="A23" s="8" t="s">
        <v>173</v>
      </c>
      <c r="B23" s="8" t="s">
        <v>11</v>
      </c>
      <c r="C23" s="8" t="s">
        <v>321</v>
      </c>
      <c r="D23" s="8" t="s">
        <v>22</v>
      </c>
      <c r="E23" s="8" t="s">
        <v>177</v>
      </c>
      <c r="F23" s="8" t="s">
        <v>27</v>
      </c>
      <c r="G23" s="8" t="s">
        <v>360</v>
      </c>
    </row>
    <row r="24" customFormat="false" ht="15" hidden="false" customHeight="false" outlineLevel="0" collapsed="false">
      <c r="A24" s="8" t="s">
        <v>179</v>
      </c>
      <c r="B24" s="8" t="s">
        <v>15</v>
      </c>
      <c r="C24" s="8" t="s">
        <v>325</v>
      </c>
      <c r="D24" s="8" t="s">
        <v>22</v>
      </c>
      <c r="E24" s="8" t="s">
        <v>183</v>
      </c>
      <c r="F24" s="8" t="s">
        <v>27</v>
      </c>
      <c r="G24" s="8" t="s">
        <v>360</v>
      </c>
    </row>
    <row r="25" customFormat="false" ht="15" hidden="false" customHeight="false" outlineLevel="0" collapsed="false">
      <c r="A25" s="8" t="s">
        <v>185</v>
      </c>
      <c r="B25" s="8" t="s">
        <v>15</v>
      </c>
      <c r="C25" s="8" t="s">
        <v>329</v>
      </c>
      <c r="D25" s="8" t="s">
        <v>22</v>
      </c>
      <c r="E25" s="8" t="s">
        <v>189</v>
      </c>
      <c r="F25" s="8" t="s">
        <v>27</v>
      </c>
      <c r="G25" s="8" t="s">
        <v>360</v>
      </c>
    </row>
    <row r="26" customFormat="false" ht="15" hidden="false" customHeight="false" outlineLevel="0" collapsed="false">
      <c r="A26" s="8" t="s">
        <v>191</v>
      </c>
      <c r="B26" s="8" t="s">
        <v>15</v>
      </c>
      <c r="C26" s="8" t="s">
        <v>332</v>
      </c>
      <c r="D26" s="8" t="s">
        <v>22</v>
      </c>
      <c r="E26" s="8" t="s">
        <v>195</v>
      </c>
      <c r="F26" s="8" t="s">
        <v>28</v>
      </c>
      <c r="G26" s="8" t="s">
        <v>365</v>
      </c>
    </row>
    <row r="27" customFormat="false" ht="15" hidden="false" customHeight="false" outlineLevel="0" collapsed="false">
      <c r="A27" s="8" t="s">
        <v>197</v>
      </c>
      <c r="B27" s="8" t="s">
        <v>15</v>
      </c>
      <c r="C27" s="8" t="s">
        <v>336</v>
      </c>
      <c r="D27" s="8" t="s">
        <v>22</v>
      </c>
      <c r="E27" s="8" t="s">
        <v>201</v>
      </c>
      <c r="F27" s="8" t="s">
        <v>27</v>
      </c>
      <c r="G27" s="8" t="s">
        <v>360</v>
      </c>
    </row>
    <row r="28" customFormat="false" ht="15" hidden="false" customHeight="false" outlineLevel="0" collapsed="false">
      <c r="A28" s="8" t="s">
        <v>203</v>
      </c>
      <c r="B28" s="8" t="s">
        <v>18</v>
      </c>
      <c r="C28" s="8" t="s">
        <v>340</v>
      </c>
      <c r="D28" s="8" t="s">
        <v>22</v>
      </c>
      <c r="E28" s="8" t="s">
        <v>207</v>
      </c>
      <c r="F28" s="8" t="s">
        <v>27</v>
      </c>
      <c r="G28" s="8" t="s">
        <v>360</v>
      </c>
    </row>
    <row r="29" customFormat="false" ht="15" hidden="false" customHeight="false" outlineLevel="0" collapsed="false">
      <c r="A29" s="8" t="s">
        <v>210</v>
      </c>
      <c r="B29" s="8" t="s">
        <v>18</v>
      </c>
      <c r="C29" s="8" t="s">
        <v>344</v>
      </c>
      <c r="D29" s="8" t="s">
        <v>22</v>
      </c>
      <c r="E29" s="8" t="s">
        <v>214</v>
      </c>
      <c r="F29" s="8" t="s">
        <v>27</v>
      </c>
      <c r="G29" s="8" t="s">
        <v>360</v>
      </c>
    </row>
    <row r="30" customFormat="false" ht="15" hidden="false" customHeight="false" outlineLevel="0" collapsed="false">
      <c r="A30" s="8" t="s">
        <v>216</v>
      </c>
      <c r="B30" s="8" t="s">
        <v>18</v>
      </c>
      <c r="C30" s="8" t="s">
        <v>348</v>
      </c>
      <c r="D30" s="8" t="s">
        <v>22</v>
      </c>
      <c r="E30" s="8" t="s">
        <v>220</v>
      </c>
      <c r="F30" s="8" t="s">
        <v>27</v>
      </c>
      <c r="G30" s="8" t="s">
        <v>360</v>
      </c>
    </row>
    <row r="31" customFormat="false" ht="15" hidden="false" customHeight="false" outlineLevel="0" collapsed="false">
      <c r="A31" s="8" t="s">
        <v>222</v>
      </c>
      <c r="B31" s="8" t="s">
        <v>18</v>
      </c>
      <c r="C31" s="8" t="s">
        <v>352</v>
      </c>
      <c r="D31" s="8" t="s">
        <v>23</v>
      </c>
      <c r="E31" s="8" t="s">
        <v>226</v>
      </c>
      <c r="F31" s="8" t="s">
        <v>27</v>
      </c>
      <c r="G31" s="8" t="s">
        <v>360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2026-08-24T18:58:20Z</dcterms:created>
  <dc:creator>openpyxl</dc:creator>
  <dc:description/>
  <dc:language>en-US</dc:language>
  <cp:lastModifiedBy/>
  <dcterms:modified xsi:type="dcterms:W3CDTF">2026-08-24T18:58:22Z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